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apple/Documents/projects/task-manager-app/docs/02_製造/"/>
    </mc:Choice>
  </mc:AlternateContent>
  <xr:revisionPtr revIDLastSave="0" documentId="13_ncr:1_{62123956-9267-4947-9CD8-59CFB5CCB22E}" xr6:coauthVersionLast="47" xr6:coauthVersionMax="47" xr10:uidLastSave="{00000000-0000-0000-0000-000000000000}"/>
  <bookViews>
    <workbookView xWindow="0" yWindow="500" windowWidth="33600" windowHeight="19440" activeTab="1" xr2:uid="{00000000-000D-0000-FFFF-FFFF00000000}"/>
  </bookViews>
  <sheets>
    <sheet name="Summary" sheetId="1" r:id="rId1"/>
    <sheet name="WBS" sheetId="2" r:id="rId2"/>
    <sheet name="References" sheetId="3" r:id="rId3"/>
    <sheet name="Validation Gates" sheetId="4" r:id="rId4"/>
  </sheets>
  <definedNames>
    <definedName name="_xlnm._FilterDatabase" localSheetId="2" hidden="1">References!$A$1:$C$10</definedName>
    <definedName name="_xlnm._FilterDatabase" localSheetId="3" hidden="1">'Validation Gates'!$A$1:$F$6</definedName>
    <definedName name="_xlnm._FilterDatabase" localSheetId="1" hidden="1">WBS!$A$1:$L$38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1" l="1"/>
  <c r="B17" i="1"/>
  <c r="B16" i="1"/>
  <c r="B15" i="1"/>
  <c r="B14" i="1"/>
  <c r="B13" i="1"/>
  <c r="B12" i="1"/>
  <c r="B11" i="1"/>
  <c r="B10" i="1"/>
  <c r="B20" i="1" l="1"/>
</calcChain>
</file>

<file path=xl/sharedStrings.xml><?xml version="1.0" encoding="utf-8"?>
<sst xmlns="http://schemas.openxmlformats.org/spreadsheetml/2006/main" count="502" uniqueCount="284">
  <si>
    <t>タスク管理アプリ AWSデプロイ WBS（パターンB）</t>
  </si>
  <si>
    <t>作成日: 2026-04-07</t>
  </si>
  <si>
    <t>目的: MVPをAWS上で公開し、運用を意識した責務分離構成（EB + RDS + S3 + CloudFront）をWBS化</t>
  </si>
  <si>
    <t>注意: 実際の手順は選択リージョン/アカウント/既存VPC有無/ドメイン有無で差分が出ます。</t>
  </si>
  <si>
    <t>集計（Phase別 工数合計）</t>
  </si>
  <si>
    <t>Phase</t>
  </si>
  <si>
    <t>合計(時間)</t>
  </si>
  <si>
    <t>Phase0 事前整理</t>
  </si>
  <si>
    <t>Phase1 本番対応</t>
  </si>
  <si>
    <t>Phase2 RDS</t>
  </si>
  <si>
    <t>Phase3 Beanstalk</t>
  </si>
  <si>
    <t>Phase4 フロント公開</t>
  </si>
  <si>
    <t>Phase5 添付S3化</t>
  </si>
  <si>
    <t>Phase6 運用最低限</t>
  </si>
  <si>
    <t>Phase7 総合テスト</t>
  </si>
  <si>
    <t>Phase8 ポートフォリオ化</t>
  </si>
  <si>
    <t>合計</t>
  </si>
  <si>
    <t>WBS_ID</t>
  </si>
  <si>
    <t>Task</t>
  </si>
  <si>
    <t>Deliverable</t>
  </si>
  <si>
    <t>Detailed Steps</t>
  </si>
  <si>
    <t>Acceptance Criteria</t>
  </si>
  <si>
    <t>Dependencies</t>
  </si>
  <si>
    <t>AWS Service</t>
  </si>
  <si>
    <t>Reference URL</t>
  </si>
  <si>
    <t>Est. Hours</t>
  </si>
  <si>
    <t>Priority</t>
  </si>
  <si>
    <t>Status</t>
  </si>
  <si>
    <t>0.1</t>
  </si>
  <si>
    <t>現行構成の棚卸し</t>
  </si>
  <si>
    <t>棚卸しメモ</t>
  </si>
  <si>
    <t>バック/フロント/DB/添付/認証/環境変数/CORS/起動手順を一覧化</t>
  </si>
  <si>
    <t>ローカルでMVP操作が一通り再現できる</t>
  </si>
  <si>
    <t>-</t>
  </si>
  <si>
    <t/>
  </si>
  <si>
    <t>P0</t>
  </si>
  <si>
    <t>Not Started</t>
  </si>
  <si>
    <t>0.2</t>
  </si>
  <si>
    <t>MVP範囲と検証観点の確定</t>
  </si>
  <si>
    <t>テスト観点一覧</t>
  </si>
  <si>
    <t>必須画面/必須API/境界値/異常系を箇条書き</t>
  </si>
  <si>
    <t>最小のE2E確認シナリオが定義できている</t>
  </si>
  <si>
    <t>0.3</t>
  </si>
  <si>
    <t>AWS方針決定</t>
  </si>
  <si>
    <t>命名規約・リージョン・予算メモ</t>
  </si>
  <si>
    <t>リージョン/命名規約/予算上限/リソース削除方針を決める</t>
  </si>
  <si>
    <t>リソース作成時に迷わない状態</t>
  </si>
  <si>
    <t>P1</t>
  </si>
  <si>
    <t>1.1</t>
  </si>
  <si>
    <t>Spring Boot プロファイル分離</t>
  </si>
  <si>
    <t>application-prod.yml</t>
  </si>
  <si>
    <t>DB/JWT/CORS/ログ/添付設定をprodに分離。秘密情報は環境変数参照へ</t>
  </si>
  <si>
    <t>prodプロファイルでローカル起動でき、設定が外部化されている</t>
  </si>
  <si>
    <t>Spring Boot</t>
  </si>
  <si>
    <t>1.2</t>
  </si>
  <si>
    <t>フロント環境変数化</t>
  </si>
  <si>
    <t>本番向けビルド設定</t>
  </si>
  <si>
    <t>.env.production 等でAPI BaseURLを切替、buildで反映されるようにする</t>
  </si>
  <si>
    <t>build成果物が本番APIを向く</t>
  </si>
  <si>
    <t>React/Vite</t>
  </si>
  <si>
    <t>1.3</t>
  </si>
  <si>
    <t>添付ファイルの本番方針確定</t>
  </si>
  <si>
    <t>方針メモ（暫定orS3）</t>
  </si>
  <si>
    <t>MVP公開に必要ならS3移行、不要なら一時停止/スタブを決める</t>
  </si>
  <si>
    <t>本番で破綻しない方針が決まる</t>
  </si>
  <si>
    <t>S3</t>
  </si>
  <si>
    <t>1.4</t>
  </si>
  <si>
    <t>本番ビルド確認</t>
  </si>
  <si>
    <t>ビルド成果物（JAR/build）</t>
  </si>
  <si>
    <t>バック: JAR作成、フロント: build生成、prod相当で動作確認</t>
  </si>
  <si>
    <t>ローカルでprod相当の起動/疎通ができる</t>
  </si>
  <si>
    <t>1.1,1.2</t>
  </si>
  <si>
    <t>2.1</t>
  </si>
  <si>
    <t>RDS設計（サイズ/保持/公開範囲）</t>
  </si>
  <si>
    <t>RDS設計メモ</t>
  </si>
  <si>
    <t>PostgreSQL、private配置、バックアップ保持、接続元を限定する方針</t>
  </si>
  <si>
    <t>設計方針が言語化されている</t>
  </si>
  <si>
    <t>RDS</t>
  </si>
  <si>
    <t>https://docs.aws.amazon.com/AmazonRDS/latest/UserGuide/CHAP_GettingStarted.CreatingConnecting.PostgreSQL.html</t>
  </si>
  <si>
    <t>2.2</t>
  </si>
  <si>
    <t>VPC/SG設計</t>
  </si>
  <si>
    <t>ネットワークメモ</t>
  </si>
  <si>
    <t>RDSは原則VPC内(private)。Beanstalk側のみ到達可能にSGを設計</t>
  </si>
  <si>
    <t>RDSが不用意に公開されない</t>
  </si>
  <si>
    <t>VPC/Security Group</t>
  </si>
  <si>
    <t>2.3</t>
  </si>
  <si>
    <t>RDSインスタンス作成</t>
  </si>
  <si>
    <t>RDSインスタンス</t>
  </si>
  <si>
    <t>PostgreSQLインスタンス作成、エンドポイント控える</t>
  </si>
  <si>
    <t>RDSがavailableになり接続情報が揃う</t>
  </si>
  <si>
    <t>2.4</t>
  </si>
  <si>
    <t>DB接続確認（クライアント）</t>
  </si>
  <si>
    <t>接続確認ログ</t>
  </si>
  <si>
    <t>標準SQLクライアントで接続確認（DBeaver/psql等）</t>
  </si>
  <si>
    <t>接続でき、DBが利用可能</t>
  </si>
  <si>
    <t>https://docs.aws.amazon.com/AmazonRDS/latest/UserGuide/USER_ConnectToPostgreSQLInstance.html</t>
  </si>
  <si>
    <t>2.5</t>
  </si>
  <si>
    <t>スキーマ反映（Flyway等）</t>
  </si>
  <si>
    <t>テーブル作成済DB</t>
  </si>
  <si>
    <t>マイグレーション実行、テーブル・インデックス確認</t>
  </si>
  <si>
    <t>アプリがRDSを使ってCRUDできる</t>
  </si>
  <si>
    <t>3.1</t>
  </si>
  <si>
    <t>Beanstalk方式決定（単一/ALB）</t>
  </si>
  <si>
    <t>方式メモ</t>
  </si>
  <si>
    <t>まずは単一で公開→必要ならLB。構成と理由をメモ</t>
  </si>
  <si>
    <t>構成が決まり作成に着手できる</t>
  </si>
  <si>
    <t>Elastic Beanstalk</t>
  </si>
  <si>
    <t>https://docs.aws.amazon.com/ja_jp/elasticbeanstalk/latest/dg/create_deploy_Java.html</t>
  </si>
  <si>
    <t>3.2</t>
  </si>
  <si>
    <t>バックエンド成果物準備</t>
  </si>
  <si>
    <t>デプロイJAR</t>
  </si>
  <si>
    <t>JAR生成、起動ポート確認、healthエンドポイント確認</t>
  </si>
  <si>
    <t>デプロイ可能な成果物がある</t>
  </si>
  <si>
    <t>https://docs.aws.amazon.com/ja_jp/elasticbeanstalk/latest/dg/java-quickstart.html</t>
  </si>
  <si>
    <t>3.3</t>
  </si>
  <si>
    <t>Beanstalk環境作成</t>
  </si>
  <si>
    <t>EB環境</t>
  </si>
  <si>
    <t>Javaプラットフォームで環境作成（VPC設定含む）</t>
  </si>
  <si>
    <t>環境作成が完了しURLが発行される</t>
  </si>
  <si>
    <t>3.4</t>
  </si>
  <si>
    <t>環境変数登録</t>
  </si>
  <si>
    <t>EB環境設定</t>
  </si>
  <si>
    <t>DB/JWT/CORS/S3などを環境変数で登録</t>
  </si>
  <si>
    <t>アプリが外部設定で起動できる</t>
  </si>
  <si>
    <t>3.3,2.3</t>
  </si>
  <si>
    <t>3.5</t>
  </si>
  <si>
    <t>初回デプロイ</t>
  </si>
  <si>
    <t>稼働中API</t>
  </si>
  <si>
    <t>JARデプロイ、起動ログ確認、health確認</t>
  </si>
  <si>
    <t>APIがHTTPS/HTTPで応答し、DB接続も成功</t>
  </si>
  <si>
    <t>3.6</t>
  </si>
  <si>
    <t>API疎通（Postman等）</t>
  </si>
  <si>
    <t>疎通結果メモ</t>
  </si>
  <si>
    <t>ログイン/タスクCRUD/コメントなど主要APIを叩く</t>
  </si>
  <si>
    <t>主要APIが本番URLで動く</t>
  </si>
  <si>
    <t>3.7</t>
  </si>
  <si>
    <t>Enhanced Health有効化</t>
  </si>
  <si>
    <t>監視有効化</t>
  </si>
  <si>
    <t>Beanstalkの拡張ヘルスレポート有効化</t>
  </si>
  <si>
    <t>環境ヘルスが詳細表示される</t>
  </si>
  <si>
    <t>https://docs.aws.amazon.com/elasticbeanstalk/latest/dg/health-enhanced.html</t>
  </si>
  <si>
    <t>4.1</t>
  </si>
  <si>
    <t>フロントビルド（本番API向け）</t>
  </si>
  <si>
    <t>build成果物</t>
  </si>
  <si>
    <t>API URLをBeanstalkへ向けてbuild</t>
  </si>
  <si>
    <t>本番URL向けのbuildが作れる</t>
  </si>
  <si>
    <t>3.5,1.2</t>
  </si>
  <si>
    <t>4.2</t>
  </si>
  <si>
    <t>S3バケット作成（フロント）</t>
  </si>
  <si>
    <t>S3バケット</t>
  </si>
  <si>
    <t>フロント配信用バケット作成、ポリシー検討</t>
  </si>
  <si>
    <t>バケットが作成されアップロードできる</t>
  </si>
  <si>
    <t>https://docs.aws.amazon.com/AmazonS3/latest/userguide/WebsiteHosting.html</t>
  </si>
  <si>
    <t>4.3</t>
  </si>
  <si>
    <t>S3へアップロード</t>
  </si>
  <si>
    <t>S3配置済み</t>
  </si>
  <si>
    <t>build成果物をS3へ配置</t>
  </si>
  <si>
    <t>S3上でファイルが参照できる</t>
  </si>
  <si>
    <t>4.1,4.2</t>
  </si>
  <si>
    <t>4.4</t>
  </si>
  <si>
    <t>CloudFront作成（HTTPS）</t>
  </si>
  <si>
    <t>CloudFront Distribution</t>
  </si>
  <si>
    <t>S3をOriginにし、HTTPS配信できるよう設定</t>
  </si>
  <si>
    <t>CloudFront経由でHTTPS表示できる</t>
  </si>
  <si>
    <t>CloudFront</t>
  </si>
  <si>
    <t>https://docs.aws.amazon.com/ja_jp/AmazonS3/latest/userguide/HostingWebsiteOnS3Setup.html</t>
  </si>
  <si>
    <t>4.5</t>
  </si>
  <si>
    <t>フロント動作確認（E2E）</t>
  </si>
  <si>
    <t>E2E結果</t>
  </si>
  <si>
    <t>ブラウザでログイン→タスクCRUD→コメント確認。CORS確認</t>
  </si>
  <si>
    <t>主要画面が本番で操作できる</t>
  </si>
  <si>
    <t>4.4,3.6</t>
  </si>
  <si>
    <t>5.1</t>
  </si>
  <si>
    <t>添付S3設計（キー/権限/公開方式）</t>
  </si>
  <si>
    <t>設計メモ</t>
  </si>
  <si>
    <t>bucket/キー規則、非公開+署名付きURL等を決定</t>
  </si>
  <si>
    <t>設計が説明できる</t>
  </si>
  <si>
    <t>5.2</t>
  </si>
  <si>
    <t>DB設計更新（添付メタデータ）</t>
  </si>
  <si>
    <t>migration</t>
  </si>
  <si>
    <t>attachmentテーブルにobject_key等を追加</t>
  </si>
  <si>
    <t>RDSに反映される</t>
  </si>
  <si>
    <t>5.1,2.5</t>
  </si>
  <si>
    <t>5.3</t>
  </si>
  <si>
    <t>Spring側S3アップ/削除</t>
  </si>
  <si>
    <t>API実装</t>
  </si>
  <si>
    <t>アップロード/削除/取得(署名URL or API経由)を実装</t>
  </si>
  <si>
    <t>添付がS3に保存される</t>
  </si>
  <si>
    <t>5.2,3.5</t>
  </si>
  <si>
    <t>5.4</t>
  </si>
  <si>
    <t>添付E2E確認</t>
  </si>
  <si>
    <t>アップ/ダウン/削除、権限制御確認</t>
  </si>
  <si>
    <t>本番で添付が使える</t>
  </si>
  <si>
    <t>5.3,4.5</t>
  </si>
  <si>
    <t>6.1</t>
  </si>
  <si>
    <t>セキュリティ最小確認</t>
  </si>
  <si>
    <t>チェックリスト</t>
  </si>
  <si>
    <t>DB公開範囲、CORS、秘密情報、S3権限、不要APIを確認</t>
  </si>
  <si>
    <t>重大な公開事故リスクがない</t>
  </si>
  <si>
    <t>6.2</t>
  </si>
  <si>
    <t>ログ確認導線整備</t>
  </si>
  <si>
    <t>運用メモ</t>
  </si>
  <si>
    <t>Beanstalkログ確認方法、エラー時の見る場所を整理</t>
  </si>
  <si>
    <t>障害時の調査手順がある</t>
  </si>
  <si>
    <t>6.3</t>
  </si>
  <si>
    <t>DBバックアップ方針確認</t>
  </si>
  <si>
    <t>自動バックアップ/スナップショット/復元手順を把握</t>
  </si>
  <si>
    <t>復旧方針を説明できる</t>
  </si>
  <si>
    <t>6.4</t>
  </si>
  <si>
    <t>障害時メモ作成</t>
  </si>
  <si>
    <t>Runbook</t>
  </si>
  <si>
    <t>API/DB/フロント障害の確認順を箇条書き</t>
  </si>
  <si>
    <t>手順が1枚で追える</t>
  </si>
  <si>
    <t>6.1,6.2,6.3</t>
  </si>
  <si>
    <t>P2</t>
  </si>
  <si>
    <t>7.1</t>
  </si>
  <si>
    <t>正常系シナリオ</t>
  </si>
  <si>
    <t>テスト記録</t>
  </si>
  <si>
    <t>ユーザー登録/ログイン/タスク/コメント/添付/権限</t>
  </si>
  <si>
    <t>主要ユースケースが通る</t>
  </si>
  <si>
    <t>7.2</t>
  </si>
  <si>
    <t>異常系シナリオ</t>
  </si>
  <si>
    <t>バリデーション/権限不足/JWT期限切れ/404/添付制限</t>
  </si>
  <si>
    <t>想定エラーが適切に扱える</t>
  </si>
  <si>
    <t>8.1</t>
  </si>
  <si>
    <t>構成図作成</t>
  </si>
  <si>
    <t>AWS構成図</t>
  </si>
  <si>
    <t>AWS構成とデータフロー図を作成</t>
  </si>
  <si>
    <t>説明資料が完成</t>
  </si>
  <si>
    <t>8.2</t>
  </si>
  <si>
    <t>README整備</t>
  </si>
  <si>
    <t>README</t>
  </si>
  <si>
    <t>機能/技術/構成/工夫/今後を整理</t>
  </si>
  <si>
    <t>第三者が理解できる</t>
  </si>
  <si>
    <t>8.3</t>
  </si>
  <si>
    <t>面接用説明テンプレ作成</t>
  </si>
  <si>
    <t>説明メモ</t>
  </si>
  <si>
    <t>選定理由/責務分離/トレードオフを文章化</t>
  </si>
  <si>
    <t>口頭説明できる</t>
  </si>
  <si>
    <t>Key</t>
  </si>
  <si>
    <t>URL</t>
  </si>
  <si>
    <t>Notes</t>
  </si>
  <si>
    <t>EB Java QuickStart</t>
  </si>
  <si>
    <t>EB Java Deploy Guide</t>
  </si>
  <si>
    <t>EB Enhanced Health</t>
  </si>
  <si>
    <t>環境ヘルス可視化の機能</t>
  </si>
  <si>
    <t>EB Enable Enhanced Health</t>
  </si>
  <si>
    <t>https://docs.aws.amazon.com/ja_jp/elasticbeanstalk/latest/dg/health-enhanced-enable.html</t>
  </si>
  <si>
    <t>RDS Create+Connect PostgreSQL</t>
  </si>
  <si>
    <t>private DBをVPCに置き、同一VPC内リソースから接続がベストプラクティス</t>
  </si>
  <si>
    <t>RDS Connect PostgreSQL</t>
  </si>
  <si>
    <t>S3 Website Hosting</t>
  </si>
  <si>
    <t>S3 Website Setup (HTTPS note)</t>
  </si>
  <si>
    <t>S3静的サイトはHTTPSを直接サポートしない→CloudFront利用が推奨</t>
  </si>
  <si>
    <t>S3 Website Setup (EN HTTPS note)</t>
  </si>
  <si>
    <t>https://docs.aws.amazon.com/AmazonS3/latest/userguide/HostingWebsiteOnS3Setup.html</t>
  </si>
  <si>
    <t>Gate</t>
  </si>
  <si>
    <t>Title</t>
  </si>
  <si>
    <t>When</t>
  </si>
  <si>
    <t>Related WBS IDs</t>
  </si>
  <si>
    <t>Gate-1</t>
  </si>
  <si>
    <t>APIがAWSで動作</t>
  </si>
  <si>
    <t>Beanstalk上で /health が応答し、主要APIがRDSに対してCRUDできる</t>
  </si>
  <si>
    <t>Phase3 完了後</t>
  </si>
  <si>
    <t>3.5,3.6</t>
  </si>
  <si>
    <t>Gate-2</t>
  </si>
  <si>
    <t>画面がHTTPSで動作</t>
  </si>
  <si>
    <t>CloudFront経由でフロントが表示され、ブラウザ操作で主要機能が動く（CORS含む）</t>
  </si>
  <si>
    <t>Phase4 完了後</t>
  </si>
  <si>
    <t>4.4,4.5</t>
  </si>
  <si>
    <t>Gate-3</t>
  </si>
  <si>
    <t>添付が本番対応</t>
  </si>
  <si>
    <t>添付がS3に保存され、権限チェック含めE2Eが通る</t>
  </si>
  <si>
    <t>Phase5 完了後</t>
  </si>
  <si>
    <t>Gate-4</t>
  </si>
  <si>
    <t>運用最低限OK</t>
  </si>
  <si>
    <t>秘密情報外部化、DB公開範囲、ログ確認、バックアップ方針が整備されている</t>
  </si>
  <si>
    <t>Phase6 完了後</t>
  </si>
  <si>
    <t>6.1-6.4</t>
  </si>
  <si>
    <t>Gate-5</t>
  </si>
  <si>
    <t>公開品質OK</t>
  </si>
  <si>
    <t>正常/異常系テスト記録があり、README・構成図で第三者説明が可能</t>
  </si>
  <si>
    <t>Phase7-8 完了後</t>
  </si>
  <si>
    <t>7.1-8.3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</si>
</sst>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4"/>
      <name val="Calibri"/>
      <family val="2"/>
    </font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4" fillId="0" borderId="0"/>
  </cellStyleXfs>
  <cellXfs count="11">
    <xf numFmtId="0" fontId="0" fillId="0" borderId="0" xfId="0"/>
    <xf numFmtId="0" fontId="0" fillId="0" borderId="0" xfId="1" applyFont="1" applyAlignment="1">
      <alignment wrapText="1"/>
    </xf>
    <xf numFmtId="0" fontId="1" fillId="0" borderId="1" xfId="1" applyFont="1" applyBorder="1" applyAlignment="1">
      <alignment vertical="top"/>
    </xf>
    <xf numFmtId="0" fontId="0" fillId="0" borderId="1" xfId="1" applyFont="1" applyBorder="1" applyAlignment="1">
      <alignment vertical="top"/>
    </xf>
    <xf numFmtId="176" fontId="0" fillId="0" borderId="1" xfId="1" applyNumberFormat="1" applyFont="1" applyBorder="1" applyAlignment="1">
      <alignment vertical="top"/>
    </xf>
    <xf numFmtId="0" fontId="2" fillId="2" borderId="1" xfId="1" applyFont="1" applyFill="1" applyBorder="1" applyAlignment="1">
      <alignment horizontal="center" vertical="center" wrapText="1"/>
    </xf>
    <xf numFmtId="0" fontId="0" fillId="0" borderId="1" xfId="1" applyFont="1" applyBorder="1" applyAlignment="1">
      <alignment horizontal="center" vertical="top" wrapText="1"/>
    </xf>
    <xf numFmtId="0" fontId="0" fillId="0" borderId="1" xfId="1" applyFont="1" applyBorder="1" applyAlignment="1">
      <alignment horizontal="left" vertical="top" wrapText="1"/>
    </xf>
    <xf numFmtId="0" fontId="2" fillId="2" borderId="1" xfId="1" applyFont="1" applyFill="1" applyBorder="1" applyAlignment="1">
      <alignment horizontal="center" vertical="center"/>
    </xf>
    <xf numFmtId="0" fontId="3" fillId="0" borderId="0" xfId="1" applyFont="1" applyAlignment="1">
      <alignment horizontal="left" vertical="center"/>
    </xf>
    <xf numFmtId="0" fontId="0" fillId="0" borderId="0" xfId="0"/>
  </cellXfs>
  <cellStyles count="2">
    <cellStyle name="Normal" xfId="1" xr:uid="{00000000-0005-0000-0000-000000000000}"/>
    <cellStyle name="標準" xfId="0" builtinId="0"/>
  </cellStyles>
  <dxfs count="3"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WBSTable" displayName="WBSTable" ref="A1:L38">
  <autoFilter ref="A1:L38" xr:uid="{00000000-0009-0000-0100-000001000000}"/>
  <tableColumns count="12">
    <tableColumn id="1" xr3:uid="{00000000-0010-0000-0000-000001000000}" name="WBS_ID"/>
    <tableColumn id="2" xr3:uid="{00000000-0010-0000-0000-000002000000}" name="Phase"/>
    <tableColumn id="3" xr3:uid="{00000000-0010-0000-0000-000003000000}" name="Task"/>
    <tableColumn id="4" xr3:uid="{00000000-0010-0000-0000-000004000000}" name="Deliverable"/>
    <tableColumn id="5" xr3:uid="{00000000-0010-0000-0000-000005000000}" name="Detailed Steps"/>
    <tableColumn id="6" xr3:uid="{00000000-0010-0000-0000-000006000000}" name="Acceptance Criteria"/>
    <tableColumn id="7" xr3:uid="{00000000-0010-0000-0000-000007000000}" name="Dependencies"/>
    <tableColumn id="8" xr3:uid="{00000000-0010-0000-0000-000008000000}" name="AWS Service"/>
    <tableColumn id="9" xr3:uid="{00000000-0010-0000-0000-000009000000}" name="Reference URL"/>
    <tableColumn id="10" xr3:uid="{00000000-0010-0000-0000-00000A000000}" name="Est. Hours"/>
    <tableColumn id="11" xr3:uid="{00000000-0010-0000-0000-00000B000000}" name="Priority"/>
    <tableColumn id="12" xr3:uid="{00000000-0010-0000-0000-00000C000000}" name="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workbookViewId="0">
      <selection sqref="A1:B1"/>
    </sheetView>
  </sheetViews>
  <sheetFormatPr baseColWidth="10" defaultColWidth="8.83203125" defaultRowHeight="15" x14ac:dyDescent="0.2"/>
  <cols>
    <col min="1" max="1" width="26" customWidth="1"/>
    <col min="2" max="2" width="12" customWidth="1"/>
  </cols>
  <sheetData>
    <row r="1" spans="1:2" ht="19" x14ac:dyDescent="0.2">
      <c r="A1" s="9" t="s">
        <v>0</v>
      </c>
      <c r="B1" s="10"/>
    </row>
    <row r="2" spans="1:2" x14ac:dyDescent="0.2">
      <c r="A2" t="s">
        <v>1</v>
      </c>
    </row>
    <row r="4" spans="1:2" ht="64" x14ac:dyDescent="0.2">
      <c r="A4" s="1" t="s">
        <v>2</v>
      </c>
    </row>
    <row r="6" spans="1:2" ht="64" x14ac:dyDescent="0.2">
      <c r="A6" s="1" t="s">
        <v>3</v>
      </c>
    </row>
    <row r="8" spans="1:2" x14ac:dyDescent="0.2">
      <c r="A8" t="s">
        <v>4</v>
      </c>
    </row>
    <row r="9" spans="1:2" x14ac:dyDescent="0.2">
      <c r="A9" s="2" t="s">
        <v>5</v>
      </c>
      <c r="B9" s="2" t="s">
        <v>6</v>
      </c>
    </row>
    <row r="10" spans="1:2" x14ac:dyDescent="0.2">
      <c r="A10" s="3" t="s">
        <v>7</v>
      </c>
      <c r="B10" s="4">
        <f>SUMIF(WBS!$B:$B,A10,WBS!$J:$J)</f>
        <v>4</v>
      </c>
    </row>
    <row r="11" spans="1:2" x14ac:dyDescent="0.2">
      <c r="A11" s="3" t="s">
        <v>8</v>
      </c>
      <c r="B11" s="4">
        <f>SUMIF(WBS!$B:$B,A11,WBS!$J:$J)</f>
        <v>7.5</v>
      </c>
    </row>
    <row r="12" spans="1:2" x14ac:dyDescent="0.2">
      <c r="A12" s="3" t="s">
        <v>9</v>
      </c>
      <c r="B12" s="4">
        <f>SUMIF(WBS!$B:$B,A12,WBS!$J:$J)</f>
        <v>6.5</v>
      </c>
    </row>
    <row r="13" spans="1:2" x14ac:dyDescent="0.2">
      <c r="A13" s="3" t="s">
        <v>10</v>
      </c>
      <c r="B13" s="4">
        <f>SUMIF(WBS!$B:$B,A13,WBS!$J:$J)</f>
        <v>7.5</v>
      </c>
    </row>
    <row r="14" spans="1:2" x14ac:dyDescent="0.2">
      <c r="A14" s="3" t="s">
        <v>11</v>
      </c>
      <c r="B14" s="4">
        <f>SUMIF(WBS!$B:$B,A14,WBS!$J:$J)</f>
        <v>5</v>
      </c>
    </row>
    <row r="15" spans="1:2" x14ac:dyDescent="0.2">
      <c r="A15" s="3" t="s">
        <v>12</v>
      </c>
      <c r="B15" s="4">
        <f>SUMIF(WBS!$B:$B,A15,WBS!$J:$J)</f>
        <v>6</v>
      </c>
    </row>
    <row r="16" spans="1:2" x14ac:dyDescent="0.2">
      <c r="A16" s="3" t="s">
        <v>13</v>
      </c>
      <c r="B16" s="4">
        <f>SUMIF(WBS!$B:$B,A16,WBS!$J:$J)</f>
        <v>4.5</v>
      </c>
    </row>
    <row r="17" spans="1:2" x14ac:dyDescent="0.2">
      <c r="A17" s="3" t="s">
        <v>14</v>
      </c>
      <c r="B17" s="4">
        <f>SUMIF(WBS!$B:$B,A17,WBS!$J:$J)</f>
        <v>4</v>
      </c>
    </row>
    <row r="18" spans="1:2" x14ac:dyDescent="0.2">
      <c r="A18" s="3" t="s">
        <v>15</v>
      </c>
      <c r="B18" s="4">
        <f>SUMIF(WBS!$B:$B,A18,WBS!$J:$J)</f>
        <v>5.5</v>
      </c>
    </row>
    <row r="19" spans="1:2" x14ac:dyDescent="0.2">
      <c r="A19" s="3"/>
      <c r="B19" s="3"/>
    </row>
    <row r="20" spans="1:2" x14ac:dyDescent="0.2">
      <c r="A20" s="2" t="s">
        <v>16</v>
      </c>
      <c r="B20" s="2">
        <f>SUM(B10:B18)</f>
        <v>50.5</v>
      </c>
    </row>
  </sheetData>
  <mergeCells count="1">
    <mergeCell ref="A1:B1"/>
  </mergeCells>
  <phoneticPr fontId="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8"/>
  <sheetViews>
    <sheetView tabSelected="1" workbookViewId="0">
      <selection activeCell="A2" sqref="A2"/>
    </sheetView>
  </sheetViews>
  <sheetFormatPr baseColWidth="10" defaultColWidth="101.6640625" defaultRowHeight="15" x14ac:dyDescent="0.2"/>
  <cols>
    <col min="1" max="1" width="13" bestFit="1" customWidth="1"/>
    <col min="2" max="2" width="23.6640625" bestFit="1" customWidth="1"/>
    <col min="3" max="3" width="33" bestFit="1" customWidth="1"/>
    <col min="4" max="4" width="31.5" bestFit="1" customWidth="1"/>
    <col min="5" max="5" width="65.1640625" bestFit="1" customWidth="1"/>
    <col min="6" max="6" width="60" bestFit="1" customWidth="1"/>
    <col min="7" max="7" width="18.1640625" bestFit="1" customWidth="1"/>
    <col min="8" max="8" width="17.5" bestFit="1" customWidth="1"/>
    <col min="9" max="9" width="100.5" bestFit="1" customWidth="1"/>
    <col min="10" max="10" width="14.5" bestFit="1" customWidth="1"/>
    <col min="11" max="11" width="12.83203125" bestFit="1" customWidth="1"/>
    <col min="12" max="12" width="11.6640625" bestFit="1" customWidth="1"/>
  </cols>
  <sheetData>
    <row r="1" spans="1:12" ht="16" x14ac:dyDescent="0.2">
      <c r="A1" s="5" t="s">
        <v>17</v>
      </c>
      <c r="B1" s="5" t="s">
        <v>5</v>
      </c>
      <c r="C1" s="5" t="s">
        <v>18</v>
      </c>
      <c r="D1" s="5" t="s">
        <v>19</v>
      </c>
      <c r="E1" s="5" t="s">
        <v>20</v>
      </c>
      <c r="F1" s="5" t="s">
        <v>21</v>
      </c>
      <c r="G1" s="5" t="s">
        <v>22</v>
      </c>
      <c r="H1" s="5" t="s">
        <v>23</v>
      </c>
      <c r="I1" s="5" t="s">
        <v>24</v>
      </c>
      <c r="J1" s="5" t="s">
        <v>25</v>
      </c>
      <c r="K1" s="5" t="s">
        <v>26</v>
      </c>
      <c r="L1" s="5" t="s">
        <v>27</v>
      </c>
    </row>
    <row r="2" spans="1:12" ht="16" x14ac:dyDescent="0.2">
      <c r="A2" s="6" t="s">
        <v>28</v>
      </c>
      <c r="B2" s="7" t="s">
        <v>7</v>
      </c>
      <c r="C2" s="7" t="s">
        <v>29</v>
      </c>
      <c r="D2" s="7" t="s">
        <v>30</v>
      </c>
      <c r="E2" s="7" t="s">
        <v>31</v>
      </c>
      <c r="F2" s="7" t="s">
        <v>32</v>
      </c>
      <c r="G2" s="7" t="s">
        <v>33</v>
      </c>
      <c r="H2" s="7" t="s">
        <v>33</v>
      </c>
      <c r="I2" s="7" t="s">
        <v>34</v>
      </c>
      <c r="J2" s="6">
        <v>2</v>
      </c>
      <c r="K2" s="6" t="s">
        <v>35</v>
      </c>
      <c r="L2" s="6" t="s">
        <v>36</v>
      </c>
    </row>
    <row r="3" spans="1:12" ht="16" x14ac:dyDescent="0.2">
      <c r="A3" s="6" t="s">
        <v>37</v>
      </c>
      <c r="B3" s="7" t="s">
        <v>7</v>
      </c>
      <c r="C3" s="7" t="s">
        <v>38</v>
      </c>
      <c r="D3" s="7" t="s">
        <v>39</v>
      </c>
      <c r="E3" s="7" t="s">
        <v>40</v>
      </c>
      <c r="F3" s="7" t="s">
        <v>41</v>
      </c>
      <c r="G3" s="7" t="s">
        <v>28</v>
      </c>
      <c r="H3" s="7" t="s">
        <v>33</v>
      </c>
      <c r="I3" s="7" t="s">
        <v>34</v>
      </c>
      <c r="J3" s="6">
        <v>1.5</v>
      </c>
      <c r="K3" s="6" t="s">
        <v>35</v>
      </c>
      <c r="L3" s="6" t="s">
        <v>36</v>
      </c>
    </row>
    <row r="4" spans="1:12" ht="16" x14ac:dyDescent="0.2">
      <c r="A4" s="6" t="s">
        <v>42</v>
      </c>
      <c r="B4" s="7" t="s">
        <v>7</v>
      </c>
      <c r="C4" s="7" t="s">
        <v>43</v>
      </c>
      <c r="D4" s="7" t="s">
        <v>44</v>
      </c>
      <c r="E4" s="7" t="s">
        <v>45</v>
      </c>
      <c r="F4" s="7" t="s">
        <v>46</v>
      </c>
      <c r="G4" s="7" t="s">
        <v>28</v>
      </c>
      <c r="H4" s="7" t="s">
        <v>33</v>
      </c>
      <c r="I4" s="7" t="s">
        <v>34</v>
      </c>
      <c r="J4" s="6">
        <v>0.5</v>
      </c>
      <c r="K4" s="6" t="s">
        <v>47</v>
      </c>
      <c r="L4" s="6" t="s">
        <v>36</v>
      </c>
    </row>
    <row r="5" spans="1:12" ht="16" x14ac:dyDescent="0.2">
      <c r="A5" s="6" t="s">
        <v>48</v>
      </c>
      <c r="B5" s="7" t="s">
        <v>8</v>
      </c>
      <c r="C5" s="7" t="s">
        <v>49</v>
      </c>
      <c r="D5" s="7" t="s">
        <v>50</v>
      </c>
      <c r="E5" s="7" t="s">
        <v>51</v>
      </c>
      <c r="F5" s="7" t="s">
        <v>52</v>
      </c>
      <c r="G5" s="7" t="s">
        <v>37</v>
      </c>
      <c r="H5" s="7" t="s">
        <v>53</v>
      </c>
      <c r="I5" s="7" t="s">
        <v>34</v>
      </c>
      <c r="J5" s="6">
        <v>3</v>
      </c>
      <c r="K5" s="6" t="s">
        <v>35</v>
      </c>
      <c r="L5" s="6" t="s">
        <v>36</v>
      </c>
    </row>
    <row r="6" spans="1:12" ht="16" x14ac:dyDescent="0.2">
      <c r="A6" s="6" t="s">
        <v>54</v>
      </c>
      <c r="B6" s="7" t="s">
        <v>8</v>
      </c>
      <c r="C6" s="7" t="s">
        <v>55</v>
      </c>
      <c r="D6" s="7" t="s">
        <v>56</v>
      </c>
      <c r="E6" s="7" t="s">
        <v>57</v>
      </c>
      <c r="F6" s="7" t="s">
        <v>58</v>
      </c>
      <c r="G6" s="7" t="s">
        <v>48</v>
      </c>
      <c r="H6" s="7" t="s">
        <v>59</v>
      </c>
      <c r="I6" s="7" t="s">
        <v>34</v>
      </c>
      <c r="J6" s="6">
        <v>2</v>
      </c>
      <c r="K6" s="6" t="s">
        <v>35</v>
      </c>
      <c r="L6" s="6" t="s">
        <v>36</v>
      </c>
    </row>
    <row r="7" spans="1:12" ht="16" x14ac:dyDescent="0.2">
      <c r="A7" s="6" t="s">
        <v>60</v>
      </c>
      <c r="B7" s="7" t="s">
        <v>8</v>
      </c>
      <c r="C7" s="7" t="s">
        <v>61</v>
      </c>
      <c r="D7" s="7" t="s">
        <v>62</v>
      </c>
      <c r="E7" s="7" t="s">
        <v>63</v>
      </c>
      <c r="F7" s="7" t="s">
        <v>64</v>
      </c>
      <c r="G7" s="7" t="s">
        <v>48</v>
      </c>
      <c r="H7" s="7" t="s">
        <v>65</v>
      </c>
      <c r="I7" s="7" t="s">
        <v>34</v>
      </c>
      <c r="J7" s="6">
        <v>1</v>
      </c>
      <c r="K7" s="6" t="s">
        <v>47</v>
      </c>
      <c r="L7" s="6" t="s">
        <v>36</v>
      </c>
    </row>
    <row r="8" spans="1:12" ht="16" x14ac:dyDescent="0.2">
      <c r="A8" s="6" t="s">
        <v>66</v>
      </c>
      <c r="B8" s="7" t="s">
        <v>8</v>
      </c>
      <c r="C8" s="7" t="s">
        <v>67</v>
      </c>
      <c r="D8" s="7" t="s">
        <v>68</v>
      </c>
      <c r="E8" s="7" t="s">
        <v>69</v>
      </c>
      <c r="F8" s="7" t="s">
        <v>70</v>
      </c>
      <c r="G8" s="7" t="s">
        <v>71</v>
      </c>
      <c r="H8" s="7" t="s">
        <v>33</v>
      </c>
      <c r="I8" s="7" t="s">
        <v>34</v>
      </c>
      <c r="J8" s="6">
        <v>1.5</v>
      </c>
      <c r="K8" s="6" t="s">
        <v>35</v>
      </c>
      <c r="L8" s="6" t="s">
        <v>36</v>
      </c>
    </row>
    <row r="9" spans="1:12" ht="16" x14ac:dyDescent="0.2">
      <c r="A9" s="6" t="s">
        <v>72</v>
      </c>
      <c r="B9" s="7" t="s">
        <v>9</v>
      </c>
      <c r="C9" s="7" t="s">
        <v>73</v>
      </c>
      <c r="D9" s="7" t="s">
        <v>74</v>
      </c>
      <c r="E9" s="7" t="s">
        <v>75</v>
      </c>
      <c r="F9" s="7" t="s">
        <v>76</v>
      </c>
      <c r="G9" s="7" t="s">
        <v>42</v>
      </c>
      <c r="H9" s="7" t="s">
        <v>77</v>
      </c>
      <c r="I9" s="7" t="s">
        <v>78</v>
      </c>
      <c r="J9" s="6">
        <v>1.5</v>
      </c>
      <c r="K9" s="6" t="s">
        <v>35</v>
      </c>
      <c r="L9" s="6" t="s">
        <v>36</v>
      </c>
    </row>
    <row r="10" spans="1:12" ht="16" x14ac:dyDescent="0.2">
      <c r="A10" s="6" t="s">
        <v>79</v>
      </c>
      <c r="B10" s="7" t="s">
        <v>9</v>
      </c>
      <c r="C10" s="7" t="s">
        <v>80</v>
      </c>
      <c r="D10" s="7" t="s">
        <v>81</v>
      </c>
      <c r="E10" s="7" t="s">
        <v>82</v>
      </c>
      <c r="F10" s="7" t="s">
        <v>83</v>
      </c>
      <c r="G10" s="7" t="s">
        <v>72</v>
      </c>
      <c r="H10" s="7" t="s">
        <v>84</v>
      </c>
      <c r="I10" s="7" t="s">
        <v>78</v>
      </c>
      <c r="J10" s="6">
        <v>1.5</v>
      </c>
      <c r="K10" s="6" t="s">
        <v>35</v>
      </c>
      <c r="L10" s="6" t="s">
        <v>36</v>
      </c>
    </row>
    <row r="11" spans="1:12" ht="16" x14ac:dyDescent="0.2">
      <c r="A11" s="6" t="s">
        <v>85</v>
      </c>
      <c r="B11" s="7" t="s">
        <v>9</v>
      </c>
      <c r="C11" s="7" t="s">
        <v>86</v>
      </c>
      <c r="D11" s="7" t="s">
        <v>87</v>
      </c>
      <c r="E11" s="7" t="s">
        <v>88</v>
      </c>
      <c r="F11" s="7" t="s">
        <v>89</v>
      </c>
      <c r="G11" s="7" t="s">
        <v>79</v>
      </c>
      <c r="H11" s="7" t="s">
        <v>77</v>
      </c>
      <c r="I11" s="7" t="s">
        <v>78</v>
      </c>
      <c r="J11" s="6">
        <v>1</v>
      </c>
      <c r="K11" s="6" t="s">
        <v>35</v>
      </c>
      <c r="L11" s="6" t="s">
        <v>36</v>
      </c>
    </row>
    <row r="12" spans="1:12" ht="16" x14ac:dyDescent="0.2">
      <c r="A12" s="6" t="s">
        <v>90</v>
      </c>
      <c r="B12" s="7" t="s">
        <v>9</v>
      </c>
      <c r="C12" s="7" t="s">
        <v>91</v>
      </c>
      <c r="D12" s="7" t="s">
        <v>92</v>
      </c>
      <c r="E12" s="7" t="s">
        <v>93</v>
      </c>
      <c r="F12" s="7" t="s">
        <v>94</v>
      </c>
      <c r="G12" s="7" t="s">
        <v>85</v>
      </c>
      <c r="H12" s="7" t="s">
        <v>77</v>
      </c>
      <c r="I12" s="7" t="s">
        <v>95</v>
      </c>
      <c r="J12" s="6">
        <v>1</v>
      </c>
      <c r="K12" s="6" t="s">
        <v>35</v>
      </c>
      <c r="L12" s="6" t="s">
        <v>36</v>
      </c>
    </row>
    <row r="13" spans="1:12" ht="16" x14ac:dyDescent="0.2">
      <c r="A13" s="6" t="s">
        <v>96</v>
      </c>
      <c r="B13" s="7" t="s">
        <v>9</v>
      </c>
      <c r="C13" s="7" t="s">
        <v>97</v>
      </c>
      <c r="D13" s="7" t="s">
        <v>98</v>
      </c>
      <c r="E13" s="7" t="s">
        <v>99</v>
      </c>
      <c r="F13" s="7" t="s">
        <v>100</v>
      </c>
      <c r="G13" s="7" t="s">
        <v>90</v>
      </c>
      <c r="H13" s="7" t="s">
        <v>77</v>
      </c>
      <c r="I13" s="7" t="s">
        <v>78</v>
      </c>
      <c r="J13" s="6">
        <v>1.5</v>
      </c>
      <c r="K13" s="6" t="s">
        <v>35</v>
      </c>
      <c r="L13" s="6" t="s">
        <v>36</v>
      </c>
    </row>
    <row r="14" spans="1:12" ht="16" x14ac:dyDescent="0.2">
      <c r="A14" s="6" t="s">
        <v>101</v>
      </c>
      <c r="B14" s="7" t="s">
        <v>10</v>
      </c>
      <c r="C14" s="7" t="s">
        <v>102</v>
      </c>
      <c r="D14" s="7" t="s">
        <v>103</v>
      </c>
      <c r="E14" s="7" t="s">
        <v>104</v>
      </c>
      <c r="F14" s="7" t="s">
        <v>105</v>
      </c>
      <c r="G14" s="7" t="s">
        <v>42</v>
      </c>
      <c r="H14" s="7" t="s">
        <v>106</v>
      </c>
      <c r="I14" s="7" t="s">
        <v>107</v>
      </c>
      <c r="J14" s="6">
        <v>0.5</v>
      </c>
      <c r="K14" s="6" t="s">
        <v>47</v>
      </c>
      <c r="L14" s="6" t="s">
        <v>36</v>
      </c>
    </row>
    <row r="15" spans="1:12" ht="16" x14ac:dyDescent="0.2">
      <c r="A15" s="6" t="s">
        <v>108</v>
      </c>
      <c r="B15" s="7" t="s">
        <v>10</v>
      </c>
      <c r="C15" s="7" t="s">
        <v>109</v>
      </c>
      <c r="D15" s="7" t="s">
        <v>110</v>
      </c>
      <c r="E15" s="7" t="s">
        <v>111</v>
      </c>
      <c r="F15" s="7" t="s">
        <v>112</v>
      </c>
      <c r="G15" s="7" t="s">
        <v>66</v>
      </c>
      <c r="H15" s="7" t="s">
        <v>53</v>
      </c>
      <c r="I15" s="7" t="s">
        <v>113</v>
      </c>
      <c r="J15" s="6">
        <v>1</v>
      </c>
      <c r="K15" s="6" t="s">
        <v>35</v>
      </c>
      <c r="L15" s="6" t="s">
        <v>36</v>
      </c>
    </row>
    <row r="16" spans="1:12" ht="16" x14ac:dyDescent="0.2">
      <c r="A16" s="6" t="s">
        <v>114</v>
      </c>
      <c r="B16" s="7" t="s">
        <v>10</v>
      </c>
      <c r="C16" s="7" t="s">
        <v>115</v>
      </c>
      <c r="D16" s="7" t="s">
        <v>116</v>
      </c>
      <c r="E16" s="7" t="s">
        <v>117</v>
      </c>
      <c r="F16" s="7" t="s">
        <v>118</v>
      </c>
      <c r="G16" s="7" t="s">
        <v>101</v>
      </c>
      <c r="H16" s="7" t="s">
        <v>106</v>
      </c>
      <c r="I16" s="7" t="s">
        <v>113</v>
      </c>
      <c r="J16" s="6">
        <v>1.5</v>
      </c>
      <c r="K16" s="6" t="s">
        <v>35</v>
      </c>
      <c r="L16" s="6" t="s">
        <v>36</v>
      </c>
    </row>
    <row r="17" spans="1:12" ht="16" x14ac:dyDescent="0.2">
      <c r="A17" s="6" t="s">
        <v>119</v>
      </c>
      <c r="B17" s="7" t="s">
        <v>10</v>
      </c>
      <c r="C17" s="7" t="s">
        <v>120</v>
      </c>
      <c r="D17" s="7" t="s">
        <v>121</v>
      </c>
      <c r="E17" s="7" t="s">
        <v>122</v>
      </c>
      <c r="F17" s="7" t="s">
        <v>123</v>
      </c>
      <c r="G17" s="7" t="s">
        <v>124</v>
      </c>
      <c r="H17" s="7" t="s">
        <v>106</v>
      </c>
      <c r="I17" s="7" t="s">
        <v>107</v>
      </c>
      <c r="J17" s="6">
        <v>1</v>
      </c>
      <c r="K17" s="6" t="s">
        <v>35</v>
      </c>
      <c r="L17" s="6" t="s">
        <v>36</v>
      </c>
    </row>
    <row r="18" spans="1:12" ht="16" x14ac:dyDescent="0.2">
      <c r="A18" s="6" t="s">
        <v>125</v>
      </c>
      <c r="B18" s="7" t="s">
        <v>10</v>
      </c>
      <c r="C18" s="7" t="s">
        <v>126</v>
      </c>
      <c r="D18" s="7" t="s">
        <v>127</v>
      </c>
      <c r="E18" s="7" t="s">
        <v>128</v>
      </c>
      <c r="F18" s="7" t="s">
        <v>129</v>
      </c>
      <c r="G18" s="7" t="s">
        <v>119</v>
      </c>
      <c r="H18" s="7" t="s">
        <v>106</v>
      </c>
      <c r="I18" s="7" t="s">
        <v>113</v>
      </c>
      <c r="J18" s="6">
        <v>1.5</v>
      </c>
      <c r="K18" s="6" t="s">
        <v>35</v>
      </c>
      <c r="L18" s="6" t="s">
        <v>36</v>
      </c>
    </row>
    <row r="19" spans="1:12" ht="16" x14ac:dyDescent="0.2">
      <c r="A19" s="6" t="s">
        <v>130</v>
      </c>
      <c r="B19" s="7" t="s">
        <v>10</v>
      </c>
      <c r="C19" s="7" t="s">
        <v>131</v>
      </c>
      <c r="D19" s="7" t="s">
        <v>132</v>
      </c>
      <c r="E19" s="7" t="s">
        <v>133</v>
      </c>
      <c r="F19" s="7" t="s">
        <v>134</v>
      </c>
      <c r="G19" s="7" t="s">
        <v>125</v>
      </c>
      <c r="H19" s="7" t="s">
        <v>33</v>
      </c>
      <c r="I19" s="7" t="s">
        <v>34</v>
      </c>
      <c r="J19" s="6">
        <v>1.5</v>
      </c>
      <c r="K19" s="6" t="s">
        <v>35</v>
      </c>
      <c r="L19" s="6" t="s">
        <v>36</v>
      </c>
    </row>
    <row r="20" spans="1:12" ht="16" x14ac:dyDescent="0.2">
      <c r="A20" s="6" t="s">
        <v>135</v>
      </c>
      <c r="B20" s="7" t="s">
        <v>10</v>
      </c>
      <c r="C20" s="7" t="s">
        <v>136</v>
      </c>
      <c r="D20" s="7" t="s">
        <v>137</v>
      </c>
      <c r="E20" s="7" t="s">
        <v>138</v>
      </c>
      <c r="F20" s="7" t="s">
        <v>139</v>
      </c>
      <c r="G20" s="7" t="s">
        <v>125</v>
      </c>
      <c r="H20" s="7" t="s">
        <v>106</v>
      </c>
      <c r="I20" s="7" t="s">
        <v>140</v>
      </c>
      <c r="J20" s="6">
        <v>0.5</v>
      </c>
      <c r="K20" s="6" t="s">
        <v>47</v>
      </c>
      <c r="L20" s="6" t="s">
        <v>36</v>
      </c>
    </row>
    <row r="21" spans="1:12" ht="16" x14ac:dyDescent="0.2">
      <c r="A21" s="6" t="s">
        <v>141</v>
      </c>
      <c r="B21" s="7" t="s">
        <v>11</v>
      </c>
      <c r="C21" s="7" t="s">
        <v>142</v>
      </c>
      <c r="D21" s="7" t="s">
        <v>143</v>
      </c>
      <c r="E21" s="7" t="s">
        <v>144</v>
      </c>
      <c r="F21" s="7" t="s">
        <v>145</v>
      </c>
      <c r="G21" s="7" t="s">
        <v>146</v>
      </c>
      <c r="H21" s="7" t="s">
        <v>59</v>
      </c>
      <c r="I21" s="7" t="s">
        <v>34</v>
      </c>
      <c r="J21" s="6">
        <v>0.75</v>
      </c>
      <c r="K21" s="6" t="s">
        <v>35</v>
      </c>
      <c r="L21" s="6" t="s">
        <v>36</v>
      </c>
    </row>
    <row r="22" spans="1:12" ht="16" x14ac:dyDescent="0.2">
      <c r="A22" s="6" t="s">
        <v>147</v>
      </c>
      <c r="B22" s="7" t="s">
        <v>11</v>
      </c>
      <c r="C22" s="7" t="s">
        <v>148</v>
      </c>
      <c r="D22" s="7" t="s">
        <v>149</v>
      </c>
      <c r="E22" s="7" t="s">
        <v>150</v>
      </c>
      <c r="F22" s="7" t="s">
        <v>151</v>
      </c>
      <c r="G22" s="7" t="s">
        <v>42</v>
      </c>
      <c r="H22" s="7" t="s">
        <v>65</v>
      </c>
      <c r="I22" s="7" t="s">
        <v>152</v>
      </c>
      <c r="J22" s="6">
        <v>0.75</v>
      </c>
      <c r="K22" s="6" t="s">
        <v>35</v>
      </c>
      <c r="L22" s="6" t="s">
        <v>36</v>
      </c>
    </row>
    <row r="23" spans="1:12" ht="16" x14ac:dyDescent="0.2">
      <c r="A23" s="6" t="s">
        <v>153</v>
      </c>
      <c r="B23" s="7" t="s">
        <v>11</v>
      </c>
      <c r="C23" s="7" t="s">
        <v>154</v>
      </c>
      <c r="D23" s="7" t="s">
        <v>155</v>
      </c>
      <c r="E23" s="7" t="s">
        <v>156</v>
      </c>
      <c r="F23" s="7" t="s">
        <v>157</v>
      </c>
      <c r="G23" s="7" t="s">
        <v>158</v>
      </c>
      <c r="H23" s="7" t="s">
        <v>65</v>
      </c>
      <c r="I23" s="7" t="s">
        <v>152</v>
      </c>
      <c r="J23" s="6">
        <v>0.5</v>
      </c>
      <c r="K23" s="6" t="s">
        <v>35</v>
      </c>
      <c r="L23" s="6" t="s">
        <v>36</v>
      </c>
    </row>
    <row r="24" spans="1:12" ht="16" x14ac:dyDescent="0.2">
      <c r="A24" s="6" t="s">
        <v>159</v>
      </c>
      <c r="B24" s="7" t="s">
        <v>11</v>
      </c>
      <c r="C24" s="7" t="s">
        <v>160</v>
      </c>
      <c r="D24" s="7" t="s">
        <v>161</v>
      </c>
      <c r="E24" s="7" t="s">
        <v>162</v>
      </c>
      <c r="F24" s="7" t="s">
        <v>163</v>
      </c>
      <c r="G24" s="7" t="s">
        <v>147</v>
      </c>
      <c r="H24" s="7" t="s">
        <v>164</v>
      </c>
      <c r="I24" s="7" t="s">
        <v>165</v>
      </c>
      <c r="J24" s="6">
        <v>1.5</v>
      </c>
      <c r="K24" s="6" t="s">
        <v>35</v>
      </c>
      <c r="L24" s="6" t="s">
        <v>36</v>
      </c>
    </row>
    <row r="25" spans="1:12" ht="16" x14ac:dyDescent="0.2">
      <c r="A25" s="6" t="s">
        <v>166</v>
      </c>
      <c r="B25" s="7" t="s">
        <v>11</v>
      </c>
      <c r="C25" s="7" t="s">
        <v>167</v>
      </c>
      <c r="D25" s="7" t="s">
        <v>168</v>
      </c>
      <c r="E25" s="7" t="s">
        <v>169</v>
      </c>
      <c r="F25" s="7" t="s">
        <v>170</v>
      </c>
      <c r="G25" s="7" t="s">
        <v>171</v>
      </c>
      <c r="H25" s="7" t="s">
        <v>33</v>
      </c>
      <c r="I25" s="7" t="s">
        <v>34</v>
      </c>
      <c r="J25" s="6">
        <v>1.5</v>
      </c>
      <c r="K25" s="6" t="s">
        <v>35</v>
      </c>
      <c r="L25" s="6" t="s">
        <v>36</v>
      </c>
    </row>
    <row r="26" spans="1:12" ht="16" x14ac:dyDescent="0.2">
      <c r="A26" s="6" t="s">
        <v>172</v>
      </c>
      <c r="B26" s="7" t="s">
        <v>12</v>
      </c>
      <c r="C26" s="7" t="s">
        <v>173</v>
      </c>
      <c r="D26" s="7" t="s">
        <v>174</v>
      </c>
      <c r="E26" s="7" t="s">
        <v>175</v>
      </c>
      <c r="F26" s="7" t="s">
        <v>176</v>
      </c>
      <c r="G26" s="7" t="s">
        <v>60</v>
      </c>
      <c r="H26" s="7" t="s">
        <v>65</v>
      </c>
      <c r="I26" s="7" t="s">
        <v>34</v>
      </c>
      <c r="J26" s="6">
        <v>1</v>
      </c>
      <c r="K26" s="6" t="s">
        <v>47</v>
      </c>
      <c r="L26" s="6" t="s">
        <v>36</v>
      </c>
    </row>
    <row r="27" spans="1:12" ht="16" x14ac:dyDescent="0.2">
      <c r="A27" s="6" t="s">
        <v>177</v>
      </c>
      <c r="B27" s="7" t="s">
        <v>12</v>
      </c>
      <c r="C27" s="7" t="s">
        <v>178</v>
      </c>
      <c r="D27" s="7" t="s">
        <v>179</v>
      </c>
      <c r="E27" s="7" t="s">
        <v>180</v>
      </c>
      <c r="F27" s="7" t="s">
        <v>181</v>
      </c>
      <c r="G27" s="7" t="s">
        <v>182</v>
      </c>
      <c r="H27" s="7" t="s">
        <v>77</v>
      </c>
      <c r="I27" s="7" t="s">
        <v>34</v>
      </c>
      <c r="J27" s="6">
        <v>1</v>
      </c>
      <c r="K27" s="6" t="s">
        <v>47</v>
      </c>
      <c r="L27" s="6" t="s">
        <v>36</v>
      </c>
    </row>
    <row r="28" spans="1:12" ht="16" x14ac:dyDescent="0.2">
      <c r="A28" s="6" t="s">
        <v>183</v>
      </c>
      <c r="B28" s="7" t="s">
        <v>12</v>
      </c>
      <c r="C28" s="7" t="s">
        <v>184</v>
      </c>
      <c r="D28" s="7" t="s">
        <v>185</v>
      </c>
      <c r="E28" s="7" t="s">
        <v>186</v>
      </c>
      <c r="F28" s="7" t="s">
        <v>187</v>
      </c>
      <c r="G28" s="7" t="s">
        <v>188</v>
      </c>
      <c r="H28" s="7" t="s">
        <v>65</v>
      </c>
      <c r="I28" s="7" t="s">
        <v>34</v>
      </c>
      <c r="J28" s="6">
        <v>2.5</v>
      </c>
      <c r="K28" s="6" t="s">
        <v>47</v>
      </c>
      <c r="L28" s="6" t="s">
        <v>36</v>
      </c>
    </row>
    <row r="29" spans="1:12" ht="16" x14ac:dyDescent="0.2">
      <c r="A29" s="6" t="s">
        <v>189</v>
      </c>
      <c r="B29" s="7" t="s">
        <v>12</v>
      </c>
      <c r="C29" s="7" t="s">
        <v>190</v>
      </c>
      <c r="D29" s="7" t="s">
        <v>168</v>
      </c>
      <c r="E29" s="7" t="s">
        <v>191</v>
      </c>
      <c r="F29" s="7" t="s">
        <v>192</v>
      </c>
      <c r="G29" s="7" t="s">
        <v>193</v>
      </c>
      <c r="H29" s="7" t="s">
        <v>33</v>
      </c>
      <c r="I29" s="7" t="s">
        <v>34</v>
      </c>
      <c r="J29" s="6">
        <v>1.5</v>
      </c>
      <c r="K29" s="6" t="s">
        <v>47</v>
      </c>
      <c r="L29" s="6" t="s">
        <v>36</v>
      </c>
    </row>
    <row r="30" spans="1:12" ht="16" x14ac:dyDescent="0.2">
      <c r="A30" s="6" t="s">
        <v>194</v>
      </c>
      <c r="B30" s="7" t="s">
        <v>13</v>
      </c>
      <c r="C30" s="7" t="s">
        <v>195</v>
      </c>
      <c r="D30" s="7" t="s">
        <v>196</v>
      </c>
      <c r="E30" s="7" t="s">
        <v>197</v>
      </c>
      <c r="F30" s="7" t="s">
        <v>198</v>
      </c>
      <c r="G30" s="7" t="s">
        <v>166</v>
      </c>
      <c r="H30" s="7" t="s">
        <v>33</v>
      </c>
      <c r="I30" s="7" t="s">
        <v>34</v>
      </c>
      <c r="J30" s="6">
        <v>1.5</v>
      </c>
      <c r="K30" s="6" t="s">
        <v>35</v>
      </c>
      <c r="L30" s="6" t="s">
        <v>36</v>
      </c>
    </row>
    <row r="31" spans="1:12" ht="16" x14ac:dyDescent="0.2">
      <c r="A31" s="6" t="s">
        <v>199</v>
      </c>
      <c r="B31" s="7" t="s">
        <v>13</v>
      </c>
      <c r="C31" s="7" t="s">
        <v>200</v>
      </c>
      <c r="D31" s="7" t="s">
        <v>201</v>
      </c>
      <c r="E31" s="7" t="s">
        <v>202</v>
      </c>
      <c r="F31" s="7" t="s">
        <v>203</v>
      </c>
      <c r="G31" s="7" t="s">
        <v>125</v>
      </c>
      <c r="H31" s="7" t="s">
        <v>106</v>
      </c>
      <c r="I31" s="7" t="s">
        <v>140</v>
      </c>
      <c r="J31" s="6">
        <v>1</v>
      </c>
      <c r="K31" s="6" t="s">
        <v>47</v>
      </c>
      <c r="L31" s="6" t="s">
        <v>36</v>
      </c>
    </row>
    <row r="32" spans="1:12" ht="16" x14ac:dyDescent="0.2">
      <c r="A32" s="6" t="s">
        <v>204</v>
      </c>
      <c r="B32" s="7" t="s">
        <v>13</v>
      </c>
      <c r="C32" s="7" t="s">
        <v>205</v>
      </c>
      <c r="D32" s="7" t="s">
        <v>201</v>
      </c>
      <c r="E32" s="7" t="s">
        <v>206</v>
      </c>
      <c r="F32" s="7" t="s">
        <v>207</v>
      </c>
      <c r="G32" s="7" t="s">
        <v>85</v>
      </c>
      <c r="H32" s="7" t="s">
        <v>77</v>
      </c>
      <c r="I32" s="7" t="s">
        <v>78</v>
      </c>
      <c r="J32" s="6">
        <v>1</v>
      </c>
      <c r="K32" s="6" t="s">
        <v>47</v>
      </c>
      <c r="L32" s="6" t="s">
        <v>36</v>
      </c>
    </row>
    <row r="33" spans="1:12" ht="16" x14ac:dyDescent="0.2">
      <c r="A33" s="6" t="s">
        <v>208</v>
      </c>
      <c r="B33" s="7" t="s">
        <v>13</v>
      </c>
      <c r="C33" s="7" t="s">
        <v>209</v>
      </c>
      <c r="D33" s="7" t="s">
        <v>210</v>
      </c>
      <c r="E33" s="7" t="s">
        <v>211</v>
      </c>
      <c r="F33" s="7" t="s">
        <v>212</v>
      </c>
      <c r="G33" s="7" t="s">
        <v>213</v>
      </c>
      <c r="H33" s="7" t="s">
        <v>33</v>
      </c>
      <c r="I33" s="7" t="s">
        <v>34</v>
      </c>
      <c r="J33" s="6">
        <v>1</v>
      </c>
      <c r="K33" s="6" t="s">
        <v>214</v>
      </c>
      <c r="L33" s="6" t="s">
        <v>36</v>
      </c>
    </row>
    <row r="34" spans="1:12" ht="16" x14ac:dyDescent="0.2">
      <c r="A34" s="6" t="s">
        <v>215</v>
      </c>
      <c r="B34" s="7" t="s">
        <v>14</v>
      </c>
      <c r="C34" s="7" t="s">
        <v>216</v>
      </c>
      <c r="D34" s="7" t="s">
        <v>217</v>
      </c>
      <c r="E34" s="7" t="s">
        <v>218</v>
      </c>
      <c r="F34" s="7" t="s">
        <v>219</v>
      </c>
      <c r="G34" s="7" t="s">
        <v>166</v>
      </c>
      <c r="H34" s="7" t="s">
        <v>33</v>
      </c>
      <c r="I34" s="7" t="s">
        <v>34</v>
      </c>
      <c r="J34" s="6">
        <v>2</v>
      </c>
      <c r="K34" s="6" t="s">
        <v>35</v>
      </c>
      <c r="L34" s="6" t="s">
        <v>36</v>
      </c>
    </row>
    <row r="35" spans="1:12" ht="16" x14ac:dyDescent="0.2">
      <c r="A35" s="6" t="s">
        <v>220</v>
      </c>
      <c r="B35" s="7" t="s">
        <v>14</v>
      </c>
      <c r="C35" s="7" t="s">
        <v>221</v>
      </c>
      <c r="D35" s="7" t="s">
        <v>217</v>
      </c>
      <c r="E35" s="7" t="s">
        <v>222</v>
      </c>
      <c r="F35" s="7" t="s">
        <v>223</v>
      </c>
      <c r="G35" s="7" t="s">
        <v>215</v>
      </c>
      <c r="H35" s="7" t="s">
        <v>33</v>
      </c>
      <c r="I35" s="7" t="s">
        <v>34</v>
      </c>
      <c r="J35" s="6">
        <v>2</v>
      </c>
      <c r="K35" s="6" t="s">
        <v>47</v>
      </c>
      <c r="L35" s="6" t="s">
        <v>36</v>
      </c>
    </row>
    <row r="36" spans="1:12" ht="16" x14ac:dyDescent="0.2">
      <c r="A36" s="6" t="s">
        <v>224</v>
      </c>
      <c r="B36" s="7" t="s">
        <v>15</v>
      </c>
      <c r="C36" s="7" t="s">
        <v>225</v>
      </c>
      <c r="D36" s="7" t="s">
        <v>226</v>
      </c>
      <c r="E36" s="7" t="s">
        <v>227</v>
      </c>
      <c r="F36" s="7" t="s">
        <v>228</v>
      </c>
      <c r="G36" s="7" t="s">
        <v>220</v>
      </c>
      <c r="H36" s="7" t="s">
        <v>33</v>
      </c>
      <c r="I36" s="7" t="s">
        <v>34</v>
      </c>
      <c r="J36" s="6">
        <v>2</v>
      </c>
      <c r="K36" s="6" t="s">
        <v>35</v>
      </c>
      <c r="L36" s="6" t="s">
        <v>36</v>
      </c>
    </row>
    <row r="37" spans="1:12" ht="16" x14ac:dyDescent="0.2">
      <c r="A37" s="6" t="s">
        <v>229</v>
      </c>
      <c r="B37" s="7" t="s">
        <v>15</v>
      </c>
      <c r="C37" s="7" t="s">
        <v>230</v>
      </c>
      <c r="D37" s="7" t="s">
        <v>231</v>
      </c>
      <c r="E37" s="7" t="s">
        <v>232</v>
      </c>
      <c r="F37" s="7" t="s">
        <v>233</v>
      </c>
      <c r="G37" s="7" t="s">
        <v>224</v>
      </c>
      <c r="H37" s="7" t="s">
        <v>33</v>
      </c>
      <c r="I37" s="7" t="s">
        <v>34</v>
      </c>
      <c r="J37" s="6">
        <v>2</v>
      </c>
      <c r="K37" s="6" t="s">
        <v>35</v>
      </c>
      <c r="L37" s="6" t="s">
        <v>36</v>
      </c>
    </row>
    <row r="38" spans="1:12" ht="16" x14ac:dyDescent="0.2">
      <c r="A38" s="6" t="s">
        <v>234</v>
      </c>
      <c r="B38" s="7" t="s">
        <v>15</v>
      </c>
      <c r="C38" s="7" t="s">
        <v>235</v>
      </c>
      <c r="D38" s="7" t="s">
        <v>236</v>
      </c>
      <c r="E38" s="7" t="s">
        <v>237</v>
      </c>
      <c r="F38" s="7" t="s">
        <v>238</v>
      </c>
      <c r="G38" s="7" t="s">
        <v>229</v>
      </c>
      <c r="H38" s="7" t="s">
        <v>33</v>
      </c>
      <c r="I38" s="7" t="s">
        <v>34</v>
      </c>
      <c r="J38" s="6">
        <v>1.5</v>
      </c>
      <c r="K38" s="6" t="s">
        <v>47</v>
      </c>
      <c r="L38" s="6" t="s">
        <v>36</v>
      </c>
    </row>
  </sheetData>
  <phoneticPr fontId="5"/>
  <conditionalFormatting sqref="L2:L38">
    <cfRule type="expression" dxfId="2" priority="1">
      <formula>$L2="Done"</formula>
    </cfRule>
    <cfRule type="expression" dxfId="1" priority="2">
      <formula>$L2="In Progress"</formula>
    </cfRule>
    <cfRule type="expression" dxfId="0" priority="3">
      <formula>$L2="Blocked"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/>
  </sheetViews>
  <sheetFormatPr baseColWidth="10" defaultColWidth="8.83203125" defaultRowHeight="15" x14ac:dyDescent="0.2"/>
  <cols>
    <col min="1" max="1" width="28" customWidth="1"/>
    <col min="2" max="2" width="62" customWidth="1"/>
    <col min="3" max="3" width="44" customWidth="1"/>
  </cols>
  <sheetData>
    <row r="1" spans="1:3" x14ac:dyDescent="0.2">
      <c r="A1" s="8" t="s">
        <v>239</v>
      </c>
      <c r="B1" s="8" t="s">
        <v>240</v>
      </c>
      <c r="C1" s="8" t="s">
        <v>241</v>
      </c>
    </row>
    <row r="2" spans="1:3" ht="32" x14ac:dyDescent="0.2">
      <c r="A2" s="7" t="s">
        <v>242</v>
      </c>
      <c r="B2" s="7" t="s">
        <v>113</v>
      </c>
      <c r="C2" s="7" t="s">
        <v>34</v>
      </c>
    </row>
    <row r="3" spans="1:3" ht="32" x14ac:dyDescent="0.2">
      <c r="A3" s="7" t="s">
        <v>243</v>
      </c>
      <c r="B3" s="7" t="s">
        <v>107</v>
      </c>
      <c r="C3" s="7" t="s">
        <v>34</v>
      </c>
    </row>
    <row r="4" spans="1:3" ht="16" x14ac:dyDescent="0.2">
      <c r="A4" s="7" t="s">
        <v>244</v>
      </c>
      <c r="B4" s="7" t="s">
        <v>140</v>
      </c>
      <c r="C4" s="7" t="s">
        <v>245</v>
      </c>
    </row>
    <row r="5" spans="1:3" ht="32" x14ac:dyDescent="0.2">
      <c r="A5" s="7" t="s">
        <v>246</v>
      </c>
      <c r="B5" s="7" t="s">
        <v>247</v>
      </c>
      <c r="C5" s="7" t="s">
        <v>34</v>
      </c>
    </row>
    <row r="6" spans="1:3" ht="32" x14ac:dyDescent="0.2">
      <c r="A6" s="7" t="s">
        <v>248</v>
      </c>
      <c r="B6" s="7" t="s">
        <v>78</v>
      </c>
      <c r="C6" s="7" t="s">
        <v>249</v>
      </c>
    </row>
    <row r="7" spans="1:3" ht="32" x14ac:dyDescent="0.2">
      <c r="A7" s="7" t="s">
        <v>250</v>
      </c>
      <c r="B7" s="7" t="s">
        <v>95</v>
      </c>
      <c r="C7" s="7" t="s">
        <v>34</v>
      </c>
    </row>
    <row r="8" spans="1:3" ht="16" x14ac:dyDescent="0.2">
      <c r="A8" s="7" t="s">
        <v>251</v>
      </c>
      <c r="B8" s="7" t="s">
        <v>152</v>
      </c>
      <c r="C8" s="7" t="s">
        <v>34</v>
      </c>
    </row>
    <row r="9" spans="1:3" ht="32" x14ac:dyDescent="0.2">
      <c r="A9" s="7" t="s">
        <v>252</v>
      </c>
      <c r="B9" s="7" t="s">
        <v>165</v>
      </c>
      <c r="C9" s="7" t="s">
        <v>253</v>
      </c>
    </row>
    <row r="10" spans="1:3" ht="32" x14ac:dyDescent="0.2">
      <c r="A10" s="7" t="s">
        <v>254</v>
      </c>
      <c r="B10" s="7" t="s">
        <v>255</v>
      </c>
      <c r="C10" s="7" t="s">
        <v>253</v>
      </c>
    </row>
  </sheetData>
  <phoneticPr fontId="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workbookViewId="0"/>
  </sheetViews>
  <sheetFormatPr baseColWidth="10" defaultColWidth="8.83203125" defaultRowHeight="15" x14ac:dyDescent="0.2"/>
  <cols>
    <col min="1" max="1" width="10" customWidth="1"/>
    <col min="2" max="2" width="22" customWidth="1"/>
    <col min="3" max="3" width="58" customWidth="1"/>
    <col min="4" max="4" width="16" customWidth="1"/>
    <col min="5" max="5" width="18" customWidth="1"/>
    <col min="6" max="6" width="14" customWidth="1"/>
  </cols>
  <sheetData>
    <row r="1" spans="1:6" ht="16" x14ac:dyDescent="0.2">
      <c r="A1" s="5" t="s">
        <v>256</v>
      </c>
      <c r="B1" s="5" t="s">
        <v>257</v>
      </c>
      <c r="C1" s="5" t="s">
        <v>21</v>
      </c>
      <c r="D1" s="5" t="s">
        <v>258</v>
      </c>
      <c r="E1" s="5" t="s">
        <v>259</v>
      </c>
      <c r="F1" s="5" t="s">
        <v>27</v>
      </c>
    </row>
    <row r="2" spans="1:6" ht="16" x14ac:dyDescent="0.2">
      <c r="A2" s="6" t="s">
        <v>260</v>
      </c>
      <c r="B2" s="7" t="s">
        <v>261</v>
      </c>
      <c r="C2" s="7" t="s">
        <v>262</v>
      </c>
      <c r="D2" s="7" t="s">
        <v>263</v>
      </c>
      <c r="E2" s="7" t="s">
        <v>264</v>
      </c>
      <c r="F2" s="6" t="s">
        <v>36</v>
      </c>
    </row>
    <row r="3" spans="1:6" ht="32" x14ac:dyDescent="0.2">
      <c r="A3" s="6" t="s">
        <v>265</v>
      </c>
      <c r="B3" s="7" t="s">
        <v>266</v>
      </c>
      <c r="C3" s="7" t="s">
        <v>267</v>
      </c>
      <c r="D3" s="7" t="s">
        <v>268</v>
      </c>
      <c r="E3" s="7" t="s">
        <v>269</v>
      </c>
      <c r="F3" s="6" t="s">
        <v>36</v>
      </c>
    </row>
    <row r="4" spans="1:6" ht="16" x14ac:dyDescent="0.2">
      <c r="A4" s="6" t="s">
        <v>270</v>
      </c>
      <c r="B4" s="7" t="s">
        <v>271</v>
      </c>
      <c r="C4" s="7" t="s">
        <v>272</v>
      </c>
      <c r="D4" s="7" t="s">
        <v>273</v>
      </c>
      <c r="E4" s="7" t="s">
        <v>189</v>
      </c>
      <c r="F4" s="6" t="s">
        <v>36</v>
      </c>
    </row>
    <row r="5" spans="1:6" ht="32" x14ac:dyDescent="0.2">
      <c r="A5" s="6" t="s">
        <v>274</v>
      </c>
      <c r="B5" s="7" t="s">
        <v>275</v>
      </c>
      <c r="C5" s="7" t="s">
        <v>276</v>
      </c>
      <c r="D5" s="7" t="s">
        <v>277</v>
      </c>
      <c r="E5" s="7" t="s">
        <v>278</v>
      </c>
      <c r="F5" s="6" t="s">
        <v>36</v>
      </c>
    </row>
    <row r="6" spans="1:6" ht="16" x14ac:dyDescent="0.2">
      <c r="A6" s="6" t="s">
        <v>279</v>
      </c>
      <c r="B6" s="7" t="s">
        <v>280</v>
      </c>
      <c r="C6" s="7" t="s">
        <v>281</v>
      </c>
      <c r="D6" s="7" t="s">
        <v>282</v>
      </c>
      <c r="E6" s="7" t="s">
        <v>283</v>
      </c>
      <c r="F6" s="6" t="s">
        <v>36</v>
      </c>
    </row>
  </sheetData>
  <phoneticPr fontId="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Summary</vt:lpstr>
      <vt:lpstr>WBS</vt:lpstr>
      <vt:lpstr>References</vt:lpstr>
      <vt:lpstr>Validation Gates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佐伯 将伍</cp:lastModifiedBy>
  <dcterms:modified xsi:type="dcterms:W3CDTF">2026-04-07T10:46:13Z</dcterms:modified>
</cp:coreProperties>
</file>