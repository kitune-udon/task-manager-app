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2.xml" ContentType="application/vnd.openxmlformats-officedocument.spreadsheetml.comments+xml"/>
  <Override PartName="/xl/tables/table5.xml" ContentType="application/vnd.openxmlformats-officedocument.spreadsheetml.table+xml"/>
  <Override PartName="/xl/comments3.xml" ContentType="application/vnd.openxmlformats-officedocument.spreadsheetml.comments+xml"/>
  <Override PartName="/xl/tables/table6.xml" ContentType="application/vnd.openxmlformats-officedocument.spreadsheetml.table+xml"/>
  <Override PartName="/xl/comments4.xml" ContentType="application/vnd.openxmlformats-officedocument.spreadsheetml.comments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https://d.docs.live.net/f2630b65481ecdb8/個人開発/02_実装/"/>
    </mc:Choice>
  </mc:AlternateContent>
  <xr:revisionPtr revIDLastSave="47" documentId="11_81A308824767BEFEF7B64476ED6968455DE37DD2" xr6:coauthVersionLast="47" xr6:coauthVersionMax="47" xr10:uidLastSave="{10D6DC94-543D-AD48-8F69-EA0C104F5F5B}"/>
  <bookViews>
    <workbookView xWindow="0" yWindow="500" windowWidth="33600" windowHeight="19440" tabRatio="728" activeTab="2" xr2:uid="{00000000-000D-0000-FFFF-FFFF00000000}"/>
  </bookViews>
  <sheets>
    <sheet name="00_使い方" sheetId="1" r:id="rId1"/>
    <sheet name="01_サマリー" sheetId="2" r:id="rId2"/>
    <sheet name="02_WBS全体" sheetId="3" r:id="rId3"/>
    <sheet name="03_JWT詳細" sheetId="4" r:id="rId4"/>
    <sheet name="04_RBAC詳細" sheetId="5" r:id="rId5"/>
    <sheet name="05_S3添付詳細" sheetId="6" r:id="rId6"/>
    <sheet name="06_エラー_ログ詳細" sheetId="7" r:id="rId7"/>
    <sheet name="07_AWS詳細" sheetId="8" r:id="rId8"/>
    <sheet name="08_受入チェック" sheetId="9" r:id="rId9"/>
  </sheets>
  <calcPr calcId="191029" calcCompleted="0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2" l="1"/>
  <c r="E16" i="2"/>
  <c r="C16" i="2"/>
  <c r="B16" i="2"/>
  <c r="F15" i="2"/>
  <c r="E15" i="2"/>
  <c r="C15" i="2"/>
  <c r="B15" i="2"/>
  <c r="F14" i="2"/>
  <c r="E14" i="2"/>
  <c r="C14" i="2"/>
  <c r="D14" i="2" s="1"/>
  <c r="B14" i="2"/>
  <c r="F13" i="2"/>
  <c r="E13" i="2"/>
  <c r="C13" i="2"/>
  <c r="B13" i="2"/>
  <c r="F12" i="2"/>
  <c r="E12" i="2"/>
  <c r="C12" i="2"/>
  <c r="D12" i="2" s="1"/>
  <c r="B12" i="2"/>
  <c r="F11" i="2"/>
  <c r="E11" i="2"/>
  <c r="C11" i="2"/>
  <c r="B11" i="2"/>
  <c r="F10" i="2"/>
  <c r="E10" i="2"/>
  <c r="C10" i="2"/>
  <c r="B10" i="2"/>
  <c r="F9" i="2"/>
  <c r="E9" i="2"/>
  <c r="C9" i="2"/>
  <c r="B9" i="2"/>
  <c r="F8" i="2"/>
  <c r="E8" i="2"/>
  <c r="C8" i="2"/>
  <c r="B8" i="2"/>
  <c r="F7" i="2"/>
  <c r="E7" i="2"/>
  <c r="C7" i="2"/>
  <c r="B7" i="2"/>
  <c r="F6" i="2"/>
  <c r="E6" i="2"/>
  <c r="C6" i="2"/>
  <c r="B6" i="2"/>
  <c r="F5" i="2"/>
  <c r="E5" i="2"/>
  <c r="C5" i="2"/>
  <c r="B5" i="2"/>
  <c r="D13" i="2" l="1"/>
  <c r="B17" i="2"/>
  <c r="D6" i="2"/>
  <c r="D11" i="2"/>
  <c r="D10" i="2"/>
  <c r="F17" i="2"/>
  <c r="E17" i="2"/>
  <c r="D9" i="2"/>
  <c r="D15" i="2"/>
  <c r="D7" i="2"/>
  <c r="D16" i="2"/>
  <c r="C17" i="2"/>
  <c r="D8" i="2"/>
  <c r="D5" i="2"/>
  <c r="D17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D18" authorId="0" shapeId="0" xr:uid="{00000000-0006-0000-0200-000001000000}">
      <text>
        <r>
          <rPr>
            <sz val="11"/>
            <color rgb="FF000000"/>
            <rFont val="ＭＳ Ｐゴシック"/>
            <family val="2"/>
            <charset val="128"/>
          </rPr>
          <t>認証方式は</t>
        </r>
        <r>
          <rPr>
            <sz val="11"/>
            <color rgb="FF000000"/>
            <rFont val="ＭＳ Ｐゴシック"/>
            <family val="2"/>
            <charset val="128"/>
          </rPr>
          <t xml:space="preserve"> JWT</t>
        </r>
        <r>
          <rPr>
            <sz val="11"/>
            <color rgb="FF000000"/>
            <rFont val="ＭＳ Ｐゴシック"/>
            <family val="2"/>
            <charset val="128"/>
          </rPr>
          <t>、パスワードは</t>
        </r>
        <r>
          <rPr>
            <sz val="11"/>
            <color rgb="FF000000"/>
            <rFont val="ＭＳ Ｐゴシック"/>
            <family val="2"/>
            <charset val="128"/>
          </rPr>
          <t xml:space="preserve"> BCrypt </t>
        </r>
        <r>
          <rPr>
            <sz val="11"/>
            <color rgb="FF000000"/>
            <rFont val="ＭＳ Ｐゴシック"/>
            <family val="2"/>
            <charset val="128"/>
          </rPr>
          <t>を採用する前提。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D5" authorId="0" shapeId="0" xr:uid="{00000000-0006-0000-0400-000001000000}">
      <text>
        <r>
          <rPr>
            <sz val="11"/>
            <color theme="1"/>
            <rFont val="ＭＳ Ｐゴシック"/>
            <family val="2"/>
            <scheme val="minor"/>
          </rPr>
          <t>認可は Service 層で実施し、Controller に書かない方針。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D8" authorId="0" shapeId="0" xr:uid="{00000000-0006-0000-0500-000001000000}">
      <text>
        <r>
          <rPr>
            <sz val="11"/>
            <color theme="1"/>
            <rFont val="ＭＳ Ｐゴシック"/>
            <family val="2"/>
            <scheme val="minor"/>
          </rPr>
          <t>添付は S3 に保存し、DB はメタ情報のみ管理。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D5" authorId="0" shapeId="0" xr:uid="{00000000-0006-0000-0600-000001000000}">
      <text>
        <r>
          <rPr>
            <sz val="11"/>
            <color theme="1"/>
            <rFont val="ＭＳ Ｐゴシック"/>
            <family val="2"/>
            <scheme val="minor"/>
          </rPr>
          <t>エラーレスポンスは timestamp/status/errorCode/message/details/path/requestId。</t>
        </r>
      </text>
    </comment>
  </commentList>
</comments>
</file>

<file path=xl/sharedStrings.xml><?xml version="1.0" encoding="utf-8"?>
<sst xmlns="http://schemas.openxmlformats.org/spreadsheetml/2006/main" count="1331" uniqueCount="760">
  <si>
    <t>実装WBS（詳細版）</t>
  </si>
  <si>
    <t>設計書をもとに、実装着手しやすい粒度まで分解した作業管理シート</t>
  </si>
  <si>
    <t>使い方</t>
  </si>
  <si>
    <t>1. まずは『01_サマリー』で全体時間と優先度を確認</t>
  </si>
  <si>
    <t>2. 実装着手は『02_WBS全体』を上から順に進める</t>
  </si>
  <si>
    <t>3. JWT / RBAC / S3 / エラー / AWS は詳細シートを見ながら実装</t>
  </si>
  <si>
    <t>4. ステータスは 未着手 / 進行中 / 完了 / 保留 のいずれかで更新</t>
  </si>
  <si>
    <t>5. MVP完了後に コメント・添付・チーム機能 の順で拡張するのがおすすめ</t>
  </si>
  <si>
    <t>推奨実装順</t>
  </si>
  <si>
    <t>Phase 1: 開発準備 → バックエンド基盤 → 認証/JWT</t>
  </si>
  <si>
    <t>Phase 2: タスクAPI → フロントMVP → エラー/ログ基盤</t>
  </si>
  <si>
    <t>Phase 3: RBAC → コメント → 添付/S3</t>
  </si>
  <si>
    <t>Phase 4: AWS/CloudWatch → テスト/README/デモ準備</t>
  </si>
  <si>
    <t>メモ</t>
  </si>
  <si>
    <t>このWBSは『MVP優先 → 将来拡張』で並べています。チーム機能は低優先度に寄せています。</t>
  </si>
  <si>
    <t>サマリー</t>
  </si>
  <si>
    <t>02_WBS全体 を更新すると集計が自動で変わります</t>
  </si>
  <si>
    <t>フェーズ</t>
  </si>
  <si>
    <t>件数</t>
  </si>
  <si>
    <t>完了件数</t>
  </si>
  <si>
    <t>進捗率</t>
  </si>
  <si>
    <t>見積時間合計</t>
  </si>
  <si>
    <t>High件数</t>
  </si>
  <si>
    <t>開発準備</t>
  </si>
  <si>
    <t>バックエンド基盤</t>
  </si>
  <si>
    <t>認証/JWT</t>
  </si>
  <si>
    <t>タスク機能(MVP)</t>
  </si>
  <si>
    <t>フロントエンド(MVP)</t>
  </si>
  <si>
    <t>認可(RBAC)</t>
  </si>
  <si>
    <t>コメント機能</t>
  </si>
  <si>
    <t>添付/S3</t>
  </si>
  <si>
    <t>チーム機能(将来拡張)</t>
  </si>
  <si>
    <t>エラー/ログ/非機能</t>
  </si>
  <si>
    <t>AWS/デプロイ</t>
  </si>
  <si>
    <t>テスト/仕上げ</t>
  </si>
  <si>
    <t>合計</t>
  </si>
  <si>
    <t>WBS全体</t>
  </si>
  <si>
    <t>MVPから将来拡張まで。見積時間は作業目安。</t>
  </si>
  <si>
    <t>区分</t>
  </si>
  <si>
    <t>タスク</t>
  </si>
  <si>
    <t>実装メモ</t>
  </si>
  <si>
    <t>ステータス</t>
  </si>
  <si>
    <t>依存</t>
  </si>
  <si>
    <t>見積(時間)</t>
  </si>
  <si>
    <t>優先度</t>
  </si>
  <si>
    <t>完了条件</t>
  </si>
  <si>
    <t>1</t>
  </si>
  <si>
    <t>リポジトリ/開発環境</t>
  </si>
  <si>
    <t>プロジェクト雛形作成</t>
  </si>
  <si>
    <t>backend(Spring Boot) / frontend(React+Vite) の初期生成</t>
  </si>
  <si>
    <t>未着手</t>
  </si>
  <si>
    <t>High</t>
  </si>
  <si>
    <t>動作確認できる雛形を先に作る</t>
  </si>
  <si>
    <t>ローカル起動成功</t>
  </si>
  <si>
    <t>1.1</t>
  </si>
  <si>
    <t>依存関係追加</t>
  </si>
  <si>
    <t>Spring Web, Security, Validation, JPA, PostgreSQL, Lombok</t>
  </si>
  <si>
    <t>MVPに必要な依存へ絞る</t>
  </si>
  <si>
    <t>build成功</t>
  </si>
  <si>
    <t>1.2</t>
  </si>
  <si>
    <t>Docker Compose作成</t>
  </si>
  <si>
    <t>PostgreSQL を docker-compose で起動</t>
  </si>
  <si>
    <t>DB接続を先に安定化</t>
  </si>
  <si>
    <t>DB接続OK</t>
  </si>
  <si>
    <t>1.3</t>
  </si>
  <si>
    <t>設定管理</t>
  </si>
  <si>
    <t>application-local.yml / .env 整備</t>
  </si>
  <si>
    <t>DB/JWT/S3/AWS 用の環境変数整理</t>
  </si>
  <si>
    <t>環境差分を明確化</t>
  </si>
  <si>
    <t>ローカル設定で起動</t>
  </si>
  <si>
    <t>1.4</t>
  </si>
  <si>
    <t>品質基盤</t>
  </si>
  <si>
    <t>コード整形/静的解析</t>
  </si>
  <si>
    <t>Backend/Frontend の format・lint 導入</t>
  </si>
  <si>
    <t>Med</t>
  </si>
  <si>
    <t>後で崩れない土台を作る</t>
  </si>
  <si>
    <t>lint通過</t>
  </si>
  <si>
    <t>1.5</t>
  </si>
  <si>
    <t>Git運用</t>
  </si>
  <si>
    <t>README初期化・ブランチ運用ルール</t>
  </si>
  <si>
    <t>main/dev/feature を決める</t>
  </si>
  <si>
    <t>実装しながら説明しやすくする</t>
  </si>
  <si>
    <t>README初版</t>
  </si>
  <si>
    <t>2</t>
  </si>
  <si>
    <t>共通構成</t>
  </si>
  <si>
    <t>パッケージ構成作成</t>
  </si>
  <si>
    <t>controller/service/repository/dto/entity/config/exception</t>
  </si>
  <si>
    <t>責務分離を先に固定</t>
  </si>
  <si>
    <t>雛形作成完了</t>
  </si>
  <si>
    <t>2.1</t>
  </si>
  <si>
    <t>BaseEntity / 監査項目</t>
  </si>
  <si>
    <t>createdAt/updatedAt の共通化</t>
  </si>
  <si>
    <t>全テーブル共通の監査項目を揃える</t>
  </si>
  <si>
    <t>JPA監査動作</t>
  </si>
  <si>
    <t>2.2</t>
  </si>
  <si>
    <t>Enum定義</t>
  </si>
  <si>
    <t>TaskStatus / Priority / TeamRole</t>
  </si>
  <si>
    <t>不正値を減らす</t>
  </si>
  <si>
    <t>enum利用開始</t>
  </si>
  <si>
    <t>2.3</t>
  </si>
  <si>
    <t>DB実装</t>
  </si>
  <si>
    <t>User Entity実装</t>
  </si>
  <si>
    <t>users テーブルに対応</t>
  </si>
  <si>
    <t>認証の土台</t>
  </si>
  <si>
    <t>Entity/Repository作成</t>
  </si>
  <si>
    <t>2.4</t>
  </si>
  <si>
    <t>Task Entity実装</t>
  </si>
  <si>
    <t>tasks テーブルに対応</t>
  </si>
  <si>
    <t>MVP中心機能</t>
  </si>
  <si>
    <t>2.5</t>
  </si>
  <si>
    <t>FlywayまたはDDL整備</t>
  </si>
  <si>
    <t>テーブル作成SQL / migration作成</t>
  </si>
  <si>
    <t>再現可能なDB構築</t>
  </si>
  <si>
    <t>migration適用成功</t>
  </si>
  <si>
    <t>2.6</t>
  </si>
  <si>
    <t>DTO設計</t>
  </si>
  <si>
    <t>Request/Response DTO作成</t>
  </si>
  <si>
    <t>API設計書に合わせる</t>
  </si>
  <si>
    <t>Entity直返しを避ける</t>
  </si>
  <si>
    <t>DTO作成</t>
  </si>
  <si>
    <t>2.7</t>
  </si>
  <si>
    <t>共通部品</t>
  </si>
  <si>
    <t>共通レスポンス/ページング方針</t>
  </si>
  <si>
    <t>将来拡張を見据える</t>
  </si>
  <si>
    <t>共通型定義</t>
  </si>
  <si>
    <t>2.8</t>
  </si>
  <si>
    <t>動作確認</t>
  </si>
  <si>
    <t>Health check / 初期疎通確認</t>
  </si>
  <si>
    <t>/actuator/health など</t>
  </si>
  <si>
    <t>Low</t>
  </si>
  <si>
    <t>インフラ確認用</t>
  </si>
  <si>
    <t>疎通成功</t>
  </si>
  <si>
    <t>3</t>
  </si>
  <si>
    <t>登録/ログイン</t>
  </si>
  <si>
    <t>PasswordEncoder導入</t>
  </si>
  <si>
    <t>BCryptでハッシュ化</t>
  </si>
  <si>
    <t>平文保存を避ける</t>
  </si>
  <si>
    <t>ハッシュ保存</t>
  </si>
  <si>
    <t>3.1</t>
  </si>
  <si>
    <t>ユーザー登録API実装</t>
  </si>
  <si>
    <t>POST /api/auth/register</t>
  </si>
  <si>
    <t>バリデーション/重複チェック含む</t>
  </si>
  <si>
    <t>201返却</t>
  </si>
  <si>
    <t>3.2</t>
  </si>
  <si>
    <t>ログインAPI実装</t>
  </si>
  <si>
    <t>POST /api/auth/login でJWT返却</t>
  </si>
  <si>
    <t>認証成功時 token を返す</t>
  </si>
  <si>
    <t>200 + token</t>
  </si>
  <si>
    <t>3.3</t>
  </si>
  <si>
    <t>JWT基盤</t>
  </si>
  <si>
    <t>JWT Provider実装</t>
  </si>
  <si>
    <t>生成/検証/期限切れ判定</t>
  </si>
  <si>
    <t>AUTH-003/004に対応</t>
  </si>
  <si>
    <t>単体テスト通過</t>
  </si>
  <si>
    <t>3.4</t>
  </si>
  <si>
    <t>認証フィルタ実装</t>
  </si>
  <si>
    <t>Authorization: Bearer を解析</t>
  </si>
  <si>
    <t>毎リクエストで認証情報復元</t>
  </si>
  <si>
    <t>保護APIが認証可能</t>
  </si>
  <si>
    <t>3.5</t>
  </si>
  <si>
    <t>Security設定</t>
  </si>
  <si>
    <t>Spring Security設定</t>
  </si>
  <si>
    <t>公開APIと保護APIを分離</t>
  </si>
  <si>
    <t>register/login のみ匿名可</t>
  </si>
  <si>
    <t>認可前段完成</t>
  </si>
  <si>
    <t>3.6</t>
  </si>
  <si>
    <t>認証ユーザー取得の共通化</t>
  </si>
  <si>
    <t>@AuthenticationPrincipal など</t>
  </si>
  <si>
    <t>Controller を薄く保つ</t>
  </si>
  <si>
    <t>currentUser取得OK</t>
  </si>
  <si>
    <t>3.7</t>
  </si>
  <si>
    <t>テスト</t>
  </si>
  <si>
    <t>認証失敗/期限切れケース実装</t>
  </si>
  <si>
    <t>401系レスポンス確認</t>
  </si>
  <si>
    <t>AUTH-001~004 を確認</t>
  </si>
  <si>
    <t>異常系テスト</t>
  </si>
  <si>
    <t>4</t>
  </si>
  <si>
    <t>API</t>
  </si>
  <si>
    <t>タスク作成API</t>
  </si>
  <si>
    <t>POST /api/tasks</t>
  </si>
  <si>
    <t>2.6,3.5</t>
  </si>
  <si>
    <t>title/status/priority/dueDate/assignedUserId</t>
  </si>
  <si>
    <t>4.1</t>
  </si>
  <si>
    <t>タスク一覧取得API</t>
  </si>
  <si>
    <t>GET /api/tasks</t>
  </si>
  <si>
    <t>DTO最適化/N+1回避を意識</t>
  </si>
  <si>
    <t>一覧表示成功</t>
  </si>
  <si>
    <t>4.2</t>
  </si>
  <si>
    <t>タスク詳細取得API</t>
  </si>
  <si>
    <t>GET /api/tasks/{taskId}</t>
  </si>
  <si>
    <t>存在しない場合404</t>
  </si>
  <si>
    <t>詳細取得成功</t>
  </si>
  <si>
    <t>4.3</t>
  </si>
  <si>
    <t>タスク更新API</t>
  </si>
  <si>
    <t>PUT /api/tasks/{taskId}</t>
  </si>
  <si>
    <t>作成者/担当者/ADMIN 条件は後続で認可実装</t>
  </si>
  <si>
    <t>更新成功</t>
  </si>
  <si>
    <t>4.4</t>
  </si>
  <si>
    <t>タスク削除API</t>
  </si>
  <si>
    <t>DELETE /api/tasks/{taskId}</t>
  </si>
  <si>
    <t>成功時204</t>
  </si>
  <si>
    <t>削除成功</t>
  </si>
  <si>
    <t>4.5</t>
  </si>
  <si>
    <t>検索条件の受け口作成</t>
  </si>
  <si>
    <t>status/priority/assignedUserId/keyword</t>
  </si>
  <si>
    <t>MVPでは簡易検索まで</t>
  </si>
  <si>
    <t>条件検索成功</t>
  </si>
  <si>
    <t>4.6</t>
  </si>
  <si>
    <t>タスクAPIの単体/結合テスト</t>
  </si>
  <si>
    <t>CRUD + 404 + validation</t>
  </si>
  <si>
    <t>最低限の回帰防止</t>
  </si>
  <si>
    <t>主要ケース通過</t>
  </si>
  <si>
    <t>5</t>
  </si>
  <si>
    <t>共通</t>
  </si>
  <si>
    <t>ルーティング/共通レイアウト</t>
  </si>
  <si>
    <t>ログイン後レイアウトの枠を作る</t>
  </si>
  <si>
    <t>画面設計書ベース</t>
  </si>
  <si>
    <t>画面遷移可能</t>
  </si>
  <si>
    <t>5.1</t>
  </si>
  <si>
    <t>認証UI</t>
  </si>
  <si>
    <t>ログイン画面実装</t>
  </si>
  <si>
    <t>ログインAPI接続</t>
  </si>
  <si>
    <t>3.2,5</t>
  </si>
  <si>
    <t>トークン保存まで実装</t>
  </si>
  <si>
    <t>ログイン成功</t>
  </si>
  <si>
    <t>5.2</t>
  </si>
  <si>
    <t>新規登録画面実装</t>
  </si>
  <si>
    <t>登録API接続</t>
  </si>
  <si>
    <t>3.1,5</t>
  </si>
  <si>
    <t>バリデーション表示含む</t>
  </si>
  <si>
    <t>登録成功</t>
  </si>
  <si>
    <t>5.3</t>
  </si>
  <si>
    <t>axios/fetch wrapper + interceptor</t>
  </si>
  <si>
    <t>JWT自動付与/401処理</t>
  </si>
  <si>
    <t>共通クライアント完成</t>
  </si>
  <si>
    <t>5.4</t>
  </si>
  <si>
    <t>タスクUI</t>
  </si>
  <si>
    <t>一覧/検索/遷移</t>
  </si>
  <si>
    <t>4.1,5.3</t>
  </si>
  <si>
    <t>MVPの中心画面</t>
  </si>
  <si>
    <t>5.5</t>
  </si>
  <si>
    <t>フォーム送信/成功後遷移</t>
  </si>
  <si>
    <t>4,5.3</t>
  </si>
  <si>
    <t>共通フォーム化も検討</t>
  </si>
  <si>
    <t>作成成功</t>
  </si>
  <si>
    <t>5.6</t>
  </si>
  <si>
    <t>詳細/削除導線</t>
  </si>
  <si>
    <t>4.2,4.4,5.3</t>
  </si>
  <si>
    <t>後でコメント/添付欄を追加しやすく</t>
  </si>
  <si>
    <t>詳細表示成功</t>
  </si>
  <si>
    <t>5.7</t>
  </si>
  <si>
    <t>タスク編集画面実装</t>
  </si>
  <si>
    <t>既存値表示/更新</t>
  </si>
  <si>
    <t>4.3,5.3</t>
  </si>
  <si>
    <t>作成フォームの再利用</t>
  </si>
  <si>
    <t>5.8</t>
  </si>
  <si>
    <t>認証/導線</t>
  </si>
  <si>
    <t>ログインガード実装</t>
  </si>
  <si>
    <t>未認証時にログインへ</t>
  </si>
  <si>
    <t>5.1,5.3</t>
  </si>
  <si>
    <t>AUTH-001/004時の導線</t>
  </si>
  <si>
    <t>保護画面制御</t>
  </si>
  <si>
    <t>5.9</t>
  </si>
  <si>
    <t>エラーハンドリング</t>
  </si>
  <si>
    <t>フィールドエラー表示実装</t>
  </si>
  <si>
    <t>details をフォームへ反映</t>
  </si>
  <si>
    <t>5.2,8</t>
  </si>
  <si>
    <t>VAL-* を UI に出し分け</t>
  </si>
  <si>
    <t>入力エラー表示</t>
  </si>
  <si>
    <t>5.10</t>
  </si>
  <si>
    <t>確認</t>
  </si>
  <si>
    <t>主要画面の疎通確認</t>
  </si>
  <si>
    <t>login → list → create → detail → edit → delete</t>
  </si>
  <si>
    <t>MVP完了判定</t>
  </si>
  <si>
    <t>主要導線OK</t>
  </si>
  <si>
    <t>6</t>
  </si>
  <si>
    <t>共通方針</t>
  </si>
  <si>
    <t>ロール/所有者判定ヘルパー作成</t>
  </si>
  <si>
    <t>MEMBER/ADMIN + owner/assignee 判定</t>
  </si>
  <si>
    <t>3.5,2.2</t>
  </si>
  <si>
    <t>Controllerに書かない</t>
  </si>
  <si>
    <t>Serviceで利用可能</t>
  </si>
  <si>
    <t>6.1</t>
  </si>
  <si>
    <t>タスク認可</t>
  </si>
  <si>
    <t>タスク更新権限実装</t>
  </si>
  <si>
    <t>作成者/担当者/チーム管理者のみ</t>
  </si>
  <si>
    <t>6,4.3</t>
  </si>
  <si>
    <t>PERM-TASK-403-UPD 対応</t>
  </si>
  <si>
    <t>403制御OK</t>
  </si>
  <si>
    <t>6.2</t>
  </si>
  <si>
    <t>タスク削除権限実装</t>
  </si>
  <si>
    <t>作成者/チーム管理者のみ</t>
  </si>
  <si>
    <t>6,4.4</t>
  </si>
  <si>
    <t>PERM-TASK-403-DEL 対応</t>
  </si>
  <si>
    <t>6.3</t>
  </si>
  <si>
    <t>認可ユースケーステスト</t>
  </si>
  <si>
    <t>本人/他人/ADMIN ケース</t>
  </si>
  <si>
    <t>面接で説明しやすい部分</t>
  </si>
  <si>
    <t>認可テスト通過</t>
  </si>
  <si>
    <t>7</t>
  </si>
  <si>
    <t>DB/API</t>
  </si>
  <si>
    <t>Comment Entity/Repository</t>
  </si>
  <si>
    <t>comments テーブル対応</t>
  </si>
  <si>
    <t>将来拡張の中では優先高め</t>
  </si>
  <si>
    <t>Entity作成</t>
  </si>
  <si>
    <t>7.1</t>
  </si>
  <si>
    <t>コメント一覧取得API</t>
  </si>
  <si>
    <t>GET /api/tasks/{taskId}/comments</t>
  </si>
  <si>
    <t>7,4.2,3.5</t>
  </si>
  <si>
    <t>タスク参照権限前提</t>
  </si>
  <si>
    <t>一覧取得成功</t>
  </si>
  <si>
    <t>7.2</t>
  </si>
  <si>
    <t>コメント投稿API</t>
  </si>
  <si>
    <t>POST /api/tasks/{taskId}/comments</t>
  </si>
  <si>
    <t>VAL-COMM-001 対応</t>
  </si>
  <si>
    <t>投稿成功</t>
  </si>
  <si>
    <t>7.3</t>
  </si>
  <si>
    <t>コメント更新/削除API</t>
  </si>
  <si>
    <t>PUT/DELETE /api/comments/{commentId}</t>
  </si>
  <si>
    <t>7.2,6</t>
  </si>
  <si>
    <t>本人 or ADMIN のみ</t>
  </si>
  <si>
    <t>更新削除成功</t>
  </si>
  <si>
    <t>7.4</t>
  </si>
  <si>
    <t>フロント</t>
  </si>
  <si>
    <t>タスク詳細のコメント欄実装</t>
  </si>
  <si>
    <t>一覧/投稿/編集/削除</t>
  </si>
  <si>
    <t>7.3,5.6</t>
  </si>
  <si>
    <t>1画面内で完結させる</t>
  </si>
  <si>
    <t>UI動作OK</t>
  </si>
  <si>
    <t>7.5</t>
  </si>
  <si>
    <t>コメント権限テスト</t>
  </si>
  <si>
    <t>本人・他人・ADMIN</t>
  </si>
  <si>
    <t>RBAC説明材料</t>
  </si>
  <si>
    <t>テスト通過</t>
  </si>
  <si>
    <t>8</t>
  </si>
  <si>
    <t>AWS/S3</t>
  </si>
  <si>
    <t>S3バケット/IAM/環境変数準備</t>
  </si>
  <si>
    <t>bucket, policy, access key</t>
  </si>
  <si>
    <t>ローカル/本番で切替</t>
  </si>
  <si>
    <t>S3接続確認</t>
  </si>
  <si>
    <t>8.1</t>
  </si>
  <si>
    <t>Attachment Entity/Repository</t>
  </si>
  <si>
    <t>attachments メタ情報管理</t>
  </si>
  <si>
    <t>file_name等を保持</t>
  </si>
  <si>
    <t>8.2</t>
  </si>
  <si>
    <t>アップロードAPI実装</t>
  </si>
  <si>
    <t>POST /api/tasks/{taskId}/attachments</t>
  </si>
  <si>
    <t>8,8.1,4.2</t>
  </si>
  <si>
    <t>multipart + メタ保存</t>
  </si>
  <si>
    <t>アップロード成功</t>
  </si>
  <si>
    <t>8.3</t>
  </si>
  <si>
    <t>一覧/ダウンロードAPI実装</t>
  </si>
  <si>
    <t>一覧取得 + download</t>
  </si>
  <si>
    <t>S3キーから取得</t>
  </si>
  <si>
    <t>取得成功</t>
  </si>
  <si>
    <t>8.4</t>
  </si>
  <si>
    <t>削除API実装</t>
  </si>
  <si>
    <t>DELETE /api/attachments/{attachmentId}</t>
  </si>
  <si>
    <t>8.3,6</t>
  </si>
  <si>
    <t>登録者本人 or ADMIN</t>
  </si>
  <si>
    <t>8.5</t>
  </si>
  <si>
    <t>バリデーション</t>
  </si>
  <si>
    <t>サイズ/拡張子制御</t>
  </si>
  <si>
    <t>VAL-FILE-001~003 対応</t>
  </si>
  <si>
    <t>悪意あるアップロードを抑止</t>
  </si>
  <si>
    <t>異常系動作</t>
  </si>
  <si>
    <t>8.6</t>
  </si>
  <si>
    <t>添付UI実装</t>
  </si>
  <si>
    <t>一覧/アップロード/ダウンロード/削除</t>
  </si>
  <si>
    <t>8.4,5.6</t>
  </si>
  <si>
    <t>タスク詳細に統合</t>
  </si>
  <si>
    <t>8.7</t>
  </si>
  <si>
    <t>S3疎通/異常系テスト</t>
  </si>
  <si>
    <t>アップロード失敗時 SYS-S3-*</t>
  </si>
  <si>
    <t>CloudWatch確認も含む</t>
  </si>
  <si>
    <t>異常系確認</t>
  </si>
  <si>
    <t>9</t>
  </si>
  <si>
    <t>Team / TeamMember Entity</t>
  </si>
  <si>
    <t>teams / team_members 対応</t>
  </si>
  <si>
    <t>2.5,2.2</t>
  </si>
  <si>
    <t>将来拡張フェーズで着手</t>
  </si>
  <si>
    <t>9.1</t>
  </si>
  <si>
    <t>チーム一覧/詳細API</t>
  </si>
  <si>
    <t>GET /api/teams, /api/teams/{teamId}</t>
  </si>
  <si>
    <t>9,3.5</t>
  </si>
  <si>
    <t>所属チームのみ</t>
  </si>
  <si>
    <t>9.2</t>
  </si>
  <si>
    <t>チーム作成API</t>
  </si>
  <si>
    <t>POST /api/teams</t>
  </si>
  <si>
    <t>作成者をADMIN化</t>
  </si>
  <si>
    <t>9.3</t>
  </si>
  <si>
    <t>メンバー追加/削除/ロール更新</t>
  </si>
  <si>
    <t>POST/DELETE/PUT members</t>
  </si>
  <si>
    <t>9.2,6</t>
  </si>
  <si>
    <t>ADMINのみ実行可</t>
  </si>
  <si>
    <t>権限制御OK</t>
  </si>
  <si>
    <t>9.4</t>
  </si>
  <si>
    <t>チーム画面実装</t>
  </si>
  <si>
    <t>一覧/詳細/メンバー管理</t>
  </si>
  <si>
    <t>9.3,5</t>
  </si>
  <si>
    <t>画面一覧に沿って追加</t>
  </si>
  <si>
    <t>10</t>
  </si>
  <si>
    <t>例外処理</t>
  </si>
  <si>
    <t>GlobalExceptionHandler実装</t>
  </si>
  <si>
    <t>ControllerAdvice で形式統一</t>
  </si>
  <si>
    <t>3.5,4</t>
  </si>
  <si>
    <t>requestId を必ず返す</t>
  </si>
  <si>
    <t>標準エラー形式</t>
  </si>
  <si>
    <t>10.1</t>
  </si>
  <si>
    <t>ErrorCode整理</t>
  </si>
  <si>
    <t>VAL/AUTH/PERM/RES/SYS を定義</t>
  </si>
  <si>
    <t>フロント分岐とログ追跡のキー</t>
  </si>
  <si>
    <t>errorCode適用</t>
  </si>
  <si>
    <t>10.2</t>
  </si>
  <si>
    <t>requestId付与</t>
  </si>
  <si>
    <t>Filter/Interceptorで採番</t>
  </si>
  <si>
    <t>API・ログ・画面をつなぐ</t>
  </si>
  <si>
    <t>requestId返却</t>
  </si>
  <si>
    <t>10.3</t>
  </si>
  <si>
    <t>ログ</t>
  </si>
  <si>
    <t>構造化ログ出力</t>
  </si>
  <si>
    <t>application/auth/exception/audit の分類</t>
  </si>
  <si>
    <t>CloudWatchで追える形</t>
  </si>
  <si>
    <t>ログ分類確認</t>
  </si>
  <si>
    <t>10.4</t>
  </si>
  <si>
    <t>WARN/ERROR 出し分け</t>
  </si>
  <si>
    <t>業務エラー/WARN, システム/ERROR</t>
  </si>
  <si>
    <t>非機能要件と整合</t>
  </si>
  <si>
    <t>ログレベル適切</t>
  </si>
  <si>
    <t>10.5</t>
  </si>
  <si>
    <t>性能</t>
  </si>
  <si>
    <t>N+1対策</t>
  </si>
  <si>
    <t>fetch join / EntityGraph / DTO最適化</t>
  </si>
  <si>
    <t>一覧/詳細が3秒以内</t>
  </si>
  <si>
    <t>SQL確認</t>
  </si>
  <si>
    <t>10.6</t>
  </si>
  <si>
    <t>インデックス確認</t>
  </si>
  <si>
    <t>email, task fk, created_at等</t>
  </si>
  <si>
    <t>DBの基本最適化</t>
  </si>
  <si>
    <t>DDL反映</t>
  </si>
  <si>
    <t>10.7</t>
  </si>
  <si>
    <t>セキュリティ</t>
  </si>
  <si>
    <t>機微情報のログ遮断</t>
  </si>
  <si>
    <t>password/token/stacktraceの扱い確認</t>
  </si>
  <si>
    <t>情報漏えい防止</t>
  </si>
  <si>
    <t>ログレビュー完了</t>
  </si>
  <si>
    <t>10.8</t>
  </si>
  <si>
    <t>性能/異常系の簡易確認</t>
  </si>
  <si>
    <t>主要API 3秒以内/異常系UI確認</t>
  </si>
  <si>
    <t>ポートフォリオ完成度向上</t>
  </si>
  <si>
    <t>確認結果記録</t>
  </si>
  <si>
    <t>11</t>
  </si>
  <si>
    <t>基盤</t>
  </si>
  <si>
    <t>RDS作成</t>
  </si>
  <si>
    <t>PostgreSQL を管理DB化</t>
  </si>
  <si>
    <t>ローカルDBから切替</t>
  </si>
  <si>
    <t>接続成功</t>
  </si>
  <si>
    <t>11.1</t>
  </si>
  <si>
    <t>EC2作成・Java設定</t>
  </si>
  <si>
    <t>Spring Boot 実行環境準備</t>
  </si>
  <si>
    <t>単純で説明しやすい構成</t>
  </si>
  <si>
    <t>起動確認</t>
  </si>
  <si>
    <t>11.2</t>
  </si>
  <si>
    <t>S3/CloudFrontでフロント配信</t>
  </si>
  <si>
    <t>React build を配置</t>
  </si>
  <si>
    <t>静的配信の基本構成</t>
  </si>
  <si>
    <t>公開URL確認</t>
  </si>
  <si>
    <t>11.3</t>
  </si>
  <si>
    <t>デプロイ</t>
  </si>
  <si>
    <t>アプリデプロイ手順書作成</t>
  </si>
  <si>
    <t>jar配置・再起動手順</t>
  </si>
  <si>
    <t>README/運用にも流用</t>
  </si>
  <si>
    <t>手順書作成</t>
  </si>
  <si>
    <t>11.4</t>
  </si>
  <si>
    <t>運用</t>
  </si>
  <si>
    <t>CloudWatch Logs連携</t>
  </si>
  <si>
    <t>アプリログを集約</t>
  </si>
  <si>
    <t>10.3,11.1</t>
  </si>
  <si>
    <t>障害調査可能にする</t>
  </si>
  <si>
    <t>ログ表示確認</t>
  </si>
  <si>
    <t>11.5</t>
  </si>
  <si>
    <t>セキュリティグループ/疎通確認</t>
  </si>
  <si>
    <t>公開ポート最小化</t>
  </si>
  <si>
    <t>不要ポート閉鎖</t>
  </si>
  <si>
    <t>疎通OK</t>
  </si>
  <si>
    <t>11.6</t>
  </si>
  <si>
    <t>バックアップ/障害シナリオ確認</t>
  </si>
  <si>
    <t>RDS backup / S3 障害時の影響整理</t>
  </si>
  <si>
    <t>説明資料に反映</t>
  </si>
  <si>
    <t>メモ作成</t>
  </si>
  <si>
    <t>12</t>
  </si>
  <si>
    <t>主要API結合テスト</t>
  </si>
  <si>
    <t>auth/task/comment/attachment の主要系</t>
  </si>
  <si>
    <t>デプロイ後の最終確認</t>
  </si>
  <si>
    <t>主要API通過</t>
  </si>
  <si>
    <t>12.1</t>
  </si>
  <si>
    <t>E2Eシナリオ確認</t>
  </si>
  <si>
    <t>login→task CRUD→logout</t>
  </si>
  <si>
    <t>画面で見せる流れを固める</t>
  </si>
  <si>
    <t>デモ動線確認</t>
  </si>
  <si>
    <t>12.2</t>
  </si>
  <si>
    <t>ドキュメント</t>
  </si>
  <si>
    <t>README更新</t>
  </si>
  <si>
    <t>技術構成/起動方法/設計意図</t>
  </si>
  <si>
    <t>採用側が最初に読む資料</t>
  </si>
  <si>
    <t>README完成</t>
  </si>
  <si>
    <t>12.3</t>
  </si>
  <si>
    <t>APIドキュメント整理</t>
  </si>
  <si>
    <t>主要リクエスト/レスポンス/エラー例</t>
  </si>
  <si>
    <t>面談で説明しやすくする</t>
  </si>
  <si>
    <t>API資料更新</t>
  </si>
  <si>
    <t>12.4</t>
  </si>
  <si>
    <t>デモ準備</t>
  </si>
  <si>
    <t>サンプルデータ作成</t>
  </si>
  <si>
    <t>ログイン用ユーザー・タスク・コメント</t>
  </si>
  <si>
    <t>デモしやすい状態へ</t>
  </si>
  <si>
    <t>デモデータ投入</t>
  </si>
  <si>
    <t>12.5</t>
  </si>
  <si>
    <t>3分説明台本作成</t>
  </si>
  <si>
    <t>設計→実装→工夫点 を話せる状態</t>
  </si>
  <si>
    <t>ポートフォリオ用途に最適化</t>
  </si>
  <si>
    <t>説明台本完成</t>
  </si>
  <si>
    <t>JWT実装詳細</t>
  </si>
  <si>
    <t>認証・認可の前段を先に固める</t>
  </si>
  <si>
    <t>このシートは実装の手順書として使い、完了したら 02_WBS全体 のステータスも更新してください。</t>
  </si>
  <si>
    <t>ID</t>
  </si>
  <si>
    <t>カテゴリ</t>
  </si>
  <si>
    <t>詳細</t>
  </si>
  <si>
    <t>関連WBS</t>
  </si>
  <si>
    <t>J-1</t>
  </si>
  <si>
    <t>認証基盤</t>
  </si>
  <si>
    <t>PasswordEncoder設定</t>
  </si>
  <si>
    <t>BCryptPasswordEncoder を Bean 化</t>
  </si>
  <si>
    <t>J-2</t>
  </si>
  <si>
    <t>Register DTO/Validation</t>
  </si>
  <si>
    <t>name/email/password の制約付与</t>
  </si>
  <si>
    <t>J-3</t>
  </si>
  <si>
    <t>登録API</t>
  </si>
  <si>
    <t>重複メールは USR-001 を返す</t>
  </si>
  <si>
    <t>J-4</t>
  </si>
  <si>
    <t>ログインAPI</t>
  </si>
  <si>
    <t>email+password を検証し token を返す</t>
  </si>
  <si>
    <t>J-5</t>
  </si>
  <si>
    <t>JWT</t>
  </si>
  <si>
    <t>トークン生成</t>
  </si>
  <si>
    <t>subject=userId, role, exp を含める</t>
  </si>
  <si>
    <t>J-6</t>
  </si>
  <si>
    <t>トークン検証</t>
  </si>
  <si>
    <t>署名/期限切れ/形式不正を判定</t>
  </si>
  <si>
    <t>J-7</t>
  </si>
  <si>
    <t>認証フィルタ</t>
  </si>
  <si>
    <t>Bearer Token を解析して SecurityContext へ設定</t>
  </si>
  <si>
    <t>J-8</t>
  </si>
  <si>
    <t>Security</t>
  </si>
  <si>
    <t>公開/保護API設定</t>
  </si>
  <si>
    <t>/api/auth/** は permitAll, 他は authenticated</t>
  </si>
  <si>
    <t>J-9</t>
  </si>
  <si>
    <t>401/403ハンドラ</t>
  </si>
  <si>
    <t>AUTH-001~005 の出し分け</t>
  </si>
  <si>
    <t>3.7,10</t>
  </si>
  <si>
    <t>J-10</t>
  </si>
  <si>
    <t>UI連携</t>
  </si>
  <si>
    <t>フロント側保存/送出</t>
  </si>
  <si>
    <t>ログイン成功時 token 保存、以後自動付与</t>
  </si>
  <si>
    <t>J-11</t>
  </si>
  <si>
    <t>正常系</t>
  </si>
  <si>
    <t>登録→ログイン→保護APIアクセス</t>
  </si>
  <si>
    <t>J-12</t>
  </si>
  <si>
    <t>異常系</t>
  </si>
  <si>
    <t>誤パスワード、期限切れ、トークンなし</t>
  </si>
  <si>
    <t>RBAC実装詳細</t>
  </si>
  <si>
    <t>Service層に認可判定を集約する前提</t>
  </si>
  <si>
    <t>領域</t>
  </si>
  <si>
    <t>R-1</t>
  </si>
  <si>
    <t>方針</t>
  </si>
  <si>
    <t>ロール定義</t>
  </si>
  <si>
    <t>MEMBER / ADMIN / ANONYMOUS</t>
  </si>
  <si>
    <t>2.2,6</t>
  </si>
  <si>
    <t>R-2</t>
  </si>
  <si>
    <t>所有者条件定義</t>
  </si>
  <si>
    <t>作成者/担当者/投稿者/チーム管理者</t>
  </si>
  <si>
    <t>R-3</t>
  </si>
  <si>
    <t>更新権限</t>
  </si>
  <si>
    <t>作成者・担当者・チーム管理者のみ</t>
  </si>
  <si>
    <t>R-4</t>
  </si>
  <si>
    <t>削除権限</t>
  </si>
  <si>
    <t>作成者・チーム管理者のみ</t>
  </si>
  <si>
    <t>R-5</t>
  </si>
  <si>
    <t>コメント</t>
  </si>
  <si>
    <t>更新削除権限</t>
  </si>
  <si>
    <t>投稿者本人 or ADMIN</t>
  </si>
  <si>
    <t>R-6</t>
  </si>
  <si>
    <t>添付</t>
  </si>
  <si>
    <t>R-7</t>
  </si>
  <si>
    <t>チーム</t>
  </si>
  <si>
    <t>メンバー管理権限</t>
  </si>
  <si>
    <t>ADMIN のみ追加/削除/ロール更新</t>
  </si>
  <si>
    <t>R-8</t>
  </si>
  <si>
    <t>実装位置</t>
  </si>
  <si>
    <t>Service層集約</t>
  </si>
  <si>
    <t>Controllerに認可判定を書かない</t>
  </si>
  <si>
    <t>R-9</t>
  </si>
  <si>
    <t>例外</t>
  </si>
  <si>
    <t>403エラーコード整理</t>
  </si>
  <si>
    <t>PERM-* / AUTH-005 を返す</t>
  </si>
  <si>
    <t>R-10</t>
  </si>
  <si>
    <t>本人/他人/ADMINケース</t>
  </si>
  <si>
    <t>最低3パターンを作る</t>
  </si>
  <si>
    <t>6.3,7.5</t>
  </si>
  <si>
    <t>S3/添付実装詳細</t>
  </si>
  <si>
    <t>S3保存 + DBメタ管理 + UI接続</t>
  </si>
  <si>
    <t>S-1</t>
  </si>
  <si>
    <t>AWS準備</t>
  </si>
  <si>
    <t>S3バケット作成</t>
  </si>
  <si>
    <t>添付用バケットを作成</t>
  </si>
  <si>
    <t>S-2</t>
  </si>
  <si>
    <t>IAM設定</t>
  </si>
  <si>
    <t>アップロード/取得/削除権限を付与</t>
  </si>
  <si>
    <t>S-3</t>
  </si>
  <si>
    <t>設定</t>
  </si>
  <si>
    <t>環境変数追加</t>
  </si>
  <si>
    <t>bucket/region/accessKey/secretKey</t>
  </si>
  <si>
    <t>S-4</t>
  </si>
  <si>
    <t>アップロード実装</t>
  </si>
  <si>
    <t>multipart 受信→S3保存→DBメタ保存</t>
  </si>
  <si>
    <t>S-5</t>
  </si>
  <si>
    <t>一覧取得実装</t>
  </si>
  <si>
    <t>taskId で添付メタ一覧を返す</t>
  </si>
  <si>
    <t>S-6</t>
  </si>
  <si>
    <t>ダウンロード実装</t>
  </si>
  <si>
    <t>attachmentId から取得して返却</t>
  </si>
  <si>
    <t>S-7</t>
  </si>
  <si>
    <t>削除実装</t>
  </si>
  <si>
    <t>S3本体+DBメタを削除</t>
  </si>
  <si>
    <t>S-8</t>
  </si>
  <si>
    <t>検証</t>
  </si>
  <si>
    <t>ファイルバリデーション</t>
  </si>
  <si>
    <t>サイズ/拡張子/未選択エラー</t>
  </si>
  <si>
    <t>S-9</t>
  </si>
  <si>
    <t>UI</t>
  </si>
  <si>
    <t>タスク詳細の添付欄</t>
  </si>
  <si>
    <t>一覧/アップロード/削除導線</t>
  </si>
  <si>
    <t>S-10</t>
  </si>
  <si>
    <t>S3失敗時のエラー化</t>
  </si>
  <si>
    <t>SYS-S3-001 / 002 を返す</t>
  </si>
  <si>
    <t>8.7,10</t>
  </si>
  <si>
    <t>エラー/ログ実装詳細</t>
  </si>
  <si>
    <t>errorCode と requestId を軸に実装</t>
  </si>
  <si>
    <t>E-1</t>
  </si>
  <si>
    <t>標準エラーレスポンス作成</t>
  </si>
  <si>
    <t>timestamp/status/errorCode/message/details/path/requestId</t>
  </si>
  <si>
    <t>E-2</t>
  </si>
  <si>
    <t>ValidationException対応</t>
  </si>
  <si>
    <t>400 + VAL-* を返す</t>
  </si>
  <si>
    <t>E-3</t>
  </si>
  <si>
    <t>AuthenticationException対応</t>
  </si>
  <si>
    <t>401 + AUTH-* を返す</t>
  </si>
  <si>
    <t>E-4</t>
  </si>
  <si>
    <t>AccessDeniedException対応</t>
  </si>
  <si>
    <t>403 + PERM-* / AUTH-005</t>
  </si>
  <si>
    <t>E-5</t>
  </si>
  <si>
    <t>NotFound/Conflict対応</t>
  </si>
  <si>
    <t>404 + RES-* / 409 + USR-*</t>
  </si>
  <si>
    <t>E-6</t>
  </si>
  <si>
    <t>Storage/DB例外対応</t>
  </si>
  <si>
    <t>500 + SYS-*</t>
  </si>
  <si>
    <t>E-7</t>
  </si>
  <si>
    <t>requestId採番</t>
  </si>
  <si>
    <t>MDC 等でログへ埋め込む</t>
  </si>
  <si>
    <t>E-8</t>
  </si>
  <si>
    <t>カテゴリ分離</t>
  </si>
  <si>
    <t>application/auth/exception/audit</t>
  </si>
  <si>
    <t>E-9</t>
  </si>
  <si>
    <t>WARN/ERROR方針実装</t>
  </si>
  <si>
    <t>業務エラーはWARN、障害はERROR</t>
  </si>
  <si>
    <t>E-10</t>
  </si>
  <si>
    <t>errorCode別フロント挙動</t>
  </si>
  <si>
    <t>401→ログイン遷移, VAL→項目表示</t>
  </si>
  <si>
    <t>AWS/デプロイ詳細</t>
  </si>
  <si>
    <t>ポートフォリオ向けに説明しやすい構成を優先</t>
  </si>
  <si>
    <t>A-1</t>
  </si>
  <si>
    <t>RDS構築</t>
  </si>
  <si>
    <t>PostgreSQL インスタンス作成</t>
  </si>
  <si>
    <t>A-2</t>
  </si>
  <si>
    <t>EC2構築</t>
  </si>
  <si>
    <t>Java実行環境とアプリ配置先準備</t>
  </si>
  <si>
    <t>A-3</t>
  </si>
  <si>
    <t>S3/CloudFront構成</t>
  </si>
  <si>
    <t>React build の静的配信</t>
  </si>
  <si>
    <t>A-4</t>
  </si>
  <si>
    <t>環境変数/Secrets設定</t>
  </si>
  <si>
    <t>DB/JWT/S3 の本番値を設定</t>
  </si>
  <si>
    <t>A-5</t>
  </si>
  <si>
    <t>Backendデプロイ手順</t>
  </si>
  <si>
    <t>jar配置・起動・再起動コマンド</t>
  </si>
  <si>
    <t>A-6</t>
  </si>
  <si>
    <t>Frontendデプロイ手順</t>
  </si>
  <si>
    <t>build→S3 upload→cache invalidation</t>
  </si>
  <si>
    <t>A-7</t>
  </si>
  <si>
    <t>認証/例外/監査ログを確認</t>
  </si>
  <si>
    <t>A-8</t>
  </si>
  <si>
    <t>Security Group調整</t>
  </si>
  <si>
    <t>必要ポートのみ開放</t>
  </si>
  <si>
    <t>A-9</t>
  </si>
  <si>
    <t>疎通テスト</t>
  </si>
  <si>
    <t>公開URLから login → task 一覧</t>
  </si>
  <si>
    <t>A-10</t>
  </si>
  <si>
    <t>保守</t>
  </si>
  <si>
    <t>バックアップ方針メモ</t>
  </si>
  <si>
    <t>RDS backup / S3 保存 / 障害時影響</t>
  </si>
  <si>
    <t>受入チェック</t>
  </si>
  <si>
    <t>実装の完了判定に使う簡易チェックリスト</t>
  </si>
  <si>
    <t>チェック項目</t>
  </si>
  <si>
    <t>確認観点</t>
  </si>
  <si>
    <t>結果</t>
  </si>
  <si>
    <t>MVP-1</t>
  </si>
  <si>
    <t>登録→ログインが成功する</t>
  </si>
  <si>
    <t>201/200 が返り token が取得できる</t>
  </si>
  <si>
    <t>未確認</t>
  </si>
  <si>
    <t>3.1,3.2</t>
  </si>
  <si>
    <t>MVP-2</t>
  </si>
  <si>
    <t>未認証で /api/tasks にアクセスすると 401</t>
  </si>
  <si>
    <t>AUTH-001/003/004 のどれかで返る</t>
  </si>
  <si>
    <t>MVP-3</t>
  </si>
  <si>
    <t>タスクCRUDが画面から実行できる</t>
  </si>
  <si>
    <t>一覧・作成・詳細・更新・削除</t>
  </si>
  <si>
    <t>4~5</t>
  </si>
  <si>
    <t>MVP-4</t>
  </si>
  <si>
    <t>入力エラーが画面に出る</t>
  </si>
  <si>
    <t>title 未入力等で details が表示される</t>
  </si>
  <si>
    <t>5.9,10</t>
  </si>
  <si>
    <t>MVP-5</t>
  </si>
  <si>
    <t>RBACで他人のタスク更新/削除が拒否される</t>
  </si>
  <si>
    <t>403 + PERM-*</t>
  </si>
  <si>
    <t>EXT-1</t>
  </si>
  <si>
    <t>コメントの投稿/編集/削除が動く</t>
  </si>
  <si>
    <t>本人またはADMINのみ編集削除可</t>
  </si>
  <si>
    <t>EXT-2</t>
  </si>
  <si>
    <t>添付のアップロード/ダウンロード/削除が動く</t>
  </si>
  <si>
    <t>S3連携含む</t>
  </si>
  <si>
    <t>INF-1</t>
  </si>
  <si>
    <t>CloudWatch にログが集約される</t>
  </si>
  <si>
    <t>requestId で追跡可能</t>
  </si>
  <si>
    <t>10.3,11.4</t>
  </si>
  <si>
    <t>INF-2</t>
  </si>
  <si>
    <t>主要操作が3秒以内</t>
  </si>
  <si>
    <t>login/list/detail/create/update/delete</t>
  </si>
  <si>
    <t>DOC-1</t>
  </si>
  <si>
    <t>READMEで起動方法と設計意図が説明できる</t>
  </si>
  <si>
    <t>面談前チェック項目</t>
  </si>
  <si>
    <t>12.2,12.5</t>
  </si>
  <si>
    <t>WBS ID</t>
    <phoneticPr fontId="5"/>
  </si>
  <si>
    <t>完了</t>
  </si>
  <si>
    <t>認証/JWT</t>
    <phoneticPr fontId="5"/>
  </si>
  <si>
    <t>必要ならPageResponseを作成</t>
    <phoneticPr fontId="5"/>
  </si>
  <si>
    <t>タスク機能(MVP)</t>
    <phoneticPr fontId="5"/>
  </si>
  <si>
    <t>APIクライアント作成</t>
    <phoneticPr fontId="5"/>
  </si>
  <si>
    <t>タスク一覧画面実装</t>
    <phoneticPr fontId="5"/>
  </si>
  <si>
    <t>タスク作成画面実装</t>
    <phoneticPr fontId="5"/>
  </si>
  <si>
    <t>タスク詳細画面実装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</si>
</sst>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%"/>
  </numFmts>
  <fonts count="7">
    <font>
      <sz val="11"/>
      <color theme="1"/>
      <name val="ＭＳ Ｐゴシック"/>
      <family val="2"/>
      <scheme val="minor"/>
    </font>
    <font>
      <b/>
      <sz val="14"/>
      <color rgb="FF1F4E78"/>
      <name val="ＭＳ Ｐゴシック"/>
      <family val="3"/>
      <charset val="128"/>
    </font>
    <font>
      <sz val="10"/>
      <color rgb="FF666666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1"/>
      <color rgb="FFFFFFFF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sz val="11"/>
      <color rgb="FF000000"/>
      <name val="ＭＳ Ｐゴシック"/>
      <family val="2"/>
      <charset val="128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F7FB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0D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vertical="top" wrapText="1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/>
    <xf numFmtId="176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3" fillId="3" borderId="1" xfId="0" applyFont="1" applyFill="1" applyBorder="1"/>
    <xf numFmtId="176" fontId="3" fillId="3" borderId="1" xfId="0" applyNumberFormat="1" applyFont="1" applyFill="1" applyBorder="1" applyAlignment="1">
      <alignment horizontal="center" vertical="center"/>
    </xf>
    <xf numFmtId="177" fontId="3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0" fillId="4" borderId="0" xfId="0" applyFill="1" applyAlignment="1">
      <alignment horizontal="center" vertical="center"/>
    </xf>
  </cellXfs>
  <cellStyles count="1">
    <cellStyle name="標準" xfId="0" builtinId="0"/>
  </cellStyles>
  <dxfs count="5">
    <dxf>
      <fill>
        <patternFill patternType="solid">
          <fgColor rgb="FFFFF2CC"/>
        </patternFill>
      </fill>
    </dxf>
    <dxf>
      <fill>
        <patternFill patternType="solid">
          <fgColor rgb="FFFDE9E7"/>
        </patternFill>
      </fill>
    </dxf>
    <dxf>
      <fill>
        <patternFill patternType="solid">
          <fgColor rgb="FFFDE9E7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E2F0D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ummaryTable" displayName="SummaryTable" ref="A4:F16">
  <autoFilter ref="A4:F16" xr:uid="{00000000-0009-0000-0100-000001000000}"/>
  <tableColumns count="6">
    <tableColumn id="1" xr3:uid="{00000000-0010-0000-0000-000001000000}" name="フェーズ"/>
    <tableColumn id="2" xr3:uid="{00000000-0010-0000-0000-000002000000}" name="件数"/>
    <tableColumn id="3" xr3:uid="{00000000-0010-0000-0000-000003000000}" name="完了件数"/>
    <tableColumn id="4" xr3:uid="{00000000-0010-0000-0000-000004000000}" name="進捗率"/>
    <tableColumn id="5" xr3:uid="{00000000-0010-0000-0000-000005000000}" name="見積時間合計"/>
    <tableColumn id="6" xr3:uid="{00000000-0010-0000-0000-000006000000}" name="High件数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asterWBSTable" displayName="MasterWBSTable" ref="A4:J90">
  <autoFilter ref="A4:J90" xr:uid="{00000000-0009-0000-0100-000002000000}">
    <filterColumn colId="5">
      <filters>
        <filter val="未着手"/>
      </filters>
    </filterColumn>
  </autoFilter>
  <tableColumns count="10">
    <tableColumn id="1" xr3:uid="{00000000-0010-0000-0100-000001000000}" name="WBS ID"/>
    <tableColumn id="2" xr3:uid="{00000000-0010-0000-0100-000002000000}" name="フェーズ"/>
    <tableColumn id="3" xr3:uid="{00000000-0010-0000-0100-000003000000}" name="区分"/>
    <tableColumn id="4" xr3:uid="{00000000-0010-0000-0100-000004000000}" name="タスク"/>
    <tableColumn id="5" xr3:uid="{00000000-0010-0000-0100-000005000000}" name="実装メモ"/>
    <tableColumn id="6" xr3:uid="{00000000-0010-0000-0100-000006000000}" name="ステータス"/>
    <tableColumn id="7" xr3:uid="{00000000-0010-0000-0100-000007000000}" name="依存"/>
    <tableColumn id="8" xr3:uid="{00000000-0010-0000-0100-000008000000}" name="見積(時間)"/>
    <tableColumn id="9" xr3:uid="{00000000-0010-0000-0100-000009000000}" name="優先度"/>
    <tableColumn id="10" xr3:uid="{00000000-0010-0000-0100-00000A000000}" name="完了条件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_4_03_JWT詳細" displayName="T_4_03_JWT詳細" ref="A4:G16">
  <autoFilter ref="A4:G16" xr:uid="{00000000-0009-0000-0100-000003000000}"/>
  <tableColumns count="7">
    <tableColumn id="1" xr3:uid="{00000000-0010-0000-0200-000001000000}" name="ID"/>
    <tableColumn id="2" xr3:uid="{00000000-0010-0000-0200-000002000000}" name="カテゴリ"/>
    <tableColumn id="3" xr3:uid="{00000000-0010-0000-0200-000003000000}" name="タスク"/>
    <tableColumn id="4" xr3:uid="{00000000-0010-0000-0200-000004000000}" name="詳細"/>
    <tableColumn id="5" xr3:uid="{00000000-0010-0000-0200-000005000000}" name="見積(時間)"/>
    <tableColumn id="6" xr3:uid="{00000000-0010-0000-0200-000006000000}" name="優先度"/>
    <tableColumn id="7" xr3:uid="{00000000-0010-0000-0200-000007000000}" name="関連WB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_5_04_RBAC詳細" displayName="T_5_04_RBAC詳細" ref="A4:G14">
  <autoFilter ref="A4:G14" xr:uid="{00000000-0009-0000-0100-000004000000}"/>
  <tableColumns count="7">
    <tableColumn id="1" xr3:uid="{00000000-0010-0000-0300-000001000000}" name="ID"/>
    <tableColumn id="2" xr3:uid="{00000000-0010-0000-0300-000002000000}" name="領域"/>
    <tableColumn id="3" xr3:uid="{00000000-0010-0000-0300-000003000000}" name="タスク"/>
    <tableColumn id="4" xr3:uid="{00000000-0010-0000-0300-000004000000}" name="詳細"/>
    <tableColumn id="5" xr3:uid="{00000000-0010-0000-0300-000005000000}" name="見積(時間)"/>
    <tableColumn id="6" xr3:uid="{00000000-0010-0000-0300-000006000000}" name="優先度"/>
    <tableColumn id="7" xr3:uid="{00000000-0010-0000-0300-000007000000}" name="関連WB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_6_05_S3添付詳細" displayName="T_6_05_S3添付詳細" ref="A4:G14">
  <autoFilter ref="A4:G14" xr:uid="{00000000-0009-0000-0100-000005000000}"/>
  <tableColumns count="7">
    <tableColumn id="1" xr3:uid="{00000000-0010-0000-0400-000001000000}" name="ID"/>
    <tableColumn id="2" xr3:uid="{00000000-0010-0000-0400-000002000000}" name="領域"/>
    <tableColumn id="3" xr3:uid="{00000000-0010-0000-0400-000003000000}" name="タスク"/>
    <tableColumn id="4" xr3:uid="{00000000-0010-0000-0400-000004000000}" name="詳細"/>
    <tableColumn id="5" xr3:uid="{00000000-0010-0000-0400-000005000000}" name="見積(時間)"/>
    <tableColumn id="6" xr3:uid="{00000000-0010-0000-0400-000006000000}" name="優先度"/>
    <tableColumn id="7" xr3:uid="{00000000-0010-0000-0400-000007000000}" name="関連WB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_7_06_エラー_ログ詳細" displayName="T_7_06_エラー_ログ詳細" ref="A4:G14">
  <autoFilter ref="A4:G14" xr:uid="{00000000-0009-0000-0100-000006000000}"/>
  <tableColumns count="7">
    <tableColumn id="1" xr3:uid="{00000000-0010-0000-0500-000001000000}" name="ID"/>
    <tableColumn id="2" xr3:uid="{00000000-0010-0000-0500-000002000000}" name="領域"/>
    <tableColumn id="3" xr3:uid="{00000000-0010-0000-0500-000003000000}" name="タスク"/>
    <tableColumn id="4" xr3:uid="{00000000-0010-0000-0500-000004000000}" name="詳細"/>
    <tableColumn id="5" xr3:uid="{00000000-0010-0000-0500-000005000000}" name="見積(時間)"/>
    <tableColumn id="6" xr3:uid="{00000000-0010-0000-0500-000006000000}" name="優先度"/>
    <tableColumn id="7" xr3:uid="{00000000-0010-0000-0500-000007000000}" name="関連WB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_8_07_AWS詳細" displayName="T_8_07_AWS詳細" ref="A4:G14">
  <autoFilter ref="A4:G14" xr:uid="{00000000-0009-0000-0100-000007000000}"/>
  <tableColumns count="7">
    <tableColumn id="1" xr3:uid="{00000000-0010-0000-0600-000001000000}" name="ID"/>
    <tableColumn id="2" xr3:uid="{00000000-0010-0000-0600-000002000000}" name="領域"/>
    <tableColumn id="3" xr3:uid="{00000000-0010-0000-0600-000003000000}" name="タスク"/>
    <tableColumn id="4" xr3:uid="{00000000-0010-0000-0600-000004000000}" name="詳細"/>
    <tableColumn id="5" xr3:uid="{00000000-0010-0000-0600-000005000000}" name="見積(時間)"/>
    <tableColumn id="6" xr3:uid="{00000000-0010-0000-0600-000006000000}" name="優先度"/>
    <tableColumn id="7" xr3:uid="{00000000-0010-0000-0600-000007000000}" name="関連WB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AcceptanceTable" displayName="AcceptanceTable" ref="A4:E14">
  <autoFilter ref="A4:E14" xr:uid="{00000000-0009-0000-0100-000008000000}"/>
  <tableColumns count="5">
    <tableColumn id="1" xr3:uid="{00000000-0010-0000-0700-000001000000}" name="ID"/>
    <tableColumn id="2" xr3:uid="{00000000-0010-0000-0700-000002000000}" name="チェック項目"/>
    <tableColumn id="3" xr3:uid="{00000000-0010-0000-0700-000003000000}" name="確認観点"/>
    <tableColumn id="4" xr3:uid="{00000000-0010-0000-0700-000004000000}" name="結果"/>
    <tableColumn id="5" xr3:uid="{00000000-0010-0000-0700-000005000000}" name="関連WB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"/>
  <sheetViews>
    <sheetView showGridLines="0" workbookViewId="0"/>
  </sheetViews>
  <sheetFormatPr baseColWidth="10" defaultColWidth="8.83203125" defaultRowHeight="14"/>
  <cols>
    <col min="1" max="1" width="95" customWidth="1"/>
  </cols>
  <sheetData>
    <row r="1" spans="1:1" ht="24" customHeight="1">
      <c r="A1" s="1" t="s">
        <v>0</v>
      </c>
    </row>
    <row r="2" spans="1:1" ht="20" customHeight="1">
      <c r="A2" s="2" t="s">
        <v>1</v>
      </c>
    </row>
    <row r="4" spans="1:1" ht="22" customHeight="1">
      <c r="A4" s="3" t="s">
        <v>2</v>
      </c>
    </row>
    <row r="5" spans="1:1" ht="22" customHeight="1">
      <c r="A5" s="4" t="s">
        <v>3</v>
      </c>
    </row>
    <row r="6" spans="1:1" ht="22" customHeight="1">
      <c r="A6" s="4" t="s">
        <v>4</v>
      </c>
    </row>
    <row r="7" spans="1:1" ht="22" customHeight="1">
      <c r="A7" s="4" t="s">
        <v>5</v>
      </c>
    </row>
    <row r="8" spans="1:1" ht="22" customHeight="1">
      <c r="A8" s="4" t="s">
        <v>6</v>
      </c>
    </row>
    <row r="9" spans="1:1" ht="22" customHeight="1">
      <c r="A9" s="4" t="s">
        <v>7</v>
      </c>
    </row>
    <row r="10" spans="1:1" ht="22" customHeight="1"/>
    <row r="11" spans="1:1" ht="22" customHeight="1"/>
    <row r="12" spans="1:1" ht="22" customHeight="1">
      <c r="A12" s="3" t="s">
        <v>8</v>
      </c>
    </row>
    <row r="13" spans="1:1" ht="22" customHeight="1">
      <c r="A13" t="s">
        <v>9</v>
      </c>
    </row>
    <row r="14" spans="1:1" ht="22" customHeight="1">
      <c r="A14" t="s">
        <v>10</v>
      </c>
    </row>
    <row r="15" spans="1:1" ht="22" customHeight="1">
      <c r="A15" t="s">
        <v>11</v>
      </c>
    </row>
    <row r="16" spans="1:1" ht="22" customHeight="1">
      <c r="A16" t="s">
        <v>12</v>
      </c>
    </row>
    <row r="17" spans="1:1" ht="22" customHeight="1"/>
    <row r="18" spans="1:1" ht="22" customHeight="1"/>
    <row r="19" spans="1:1" ht="22" customHeight="1">
      <c r="A19" s="3" t="s">
        <v>13</v>
      </c>
    </row>
    <row r="20" spans="1:1" ht="22" customHeight="1">
      <c r="A20" s="4" t="s">
        <v>14</v>
      </c>
    </row>
  </sheetData>
  <phoneticPr fontId="5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"/>
  <sheetViews>
    <sheetView showGridLines="0" workbookViewId="0">
      <pane ySplit="4" topLeftCell="A5" activePane="bottomLeft" state="frozen"/>
      <selection pane="bottomLeft" activeCell="B12" sqref="B12"/>
    </sheetView>
  </sheetViews>
  <sheetFormatPr baseColWidth="10" defaultColWidth="8.83203125" defaultRowHeight="14"/>
  <cols>
    <col min="1" max="1" width="18.83203125" customWidth="1"/>
    <col min="2" max="2" width="9.6640625" bestFit="1" customWidth="1"/>
    <col min="3" max="3" width="13.6640625" bestFit="1" customWidth="1"/>
    <col min="4" max="4" width="11.6640625" bestFit="1" customWidth="1"/>
    <col min="5" max="5" width="18.1640625" bestFit="1" customWidth="1"/>
    <col min="6" max="6" width="13.6640625" bestFit="1" customWidth="1"/>
  </cols>
  <sheetData>
    <row r="1" spans="1:6" ht="17">
      <c r="A1" s="1" t="s">
        <v>15</v>
      </c>
    </row>
    <row r="2" spans="1:6">
      <c r="A2" s="2" t="s">
        <v>16</v>
      </c>
    </row>
    <row r="4" spans="1:6">
      <c r="A4" s="5" t="s">
        <v>17</v>
      </c>
      <c r="B4" s="5" t="s">
        <v>18</v>
      </c>
      <c r="C4" s="5" t="s">
        <v>19</v>
      </c>
      <c r="D4" s="5" t="s">
        <v>20</v>
      </c>
      <c r="E4" s="5" t="s">
        <v>21</v>
      </c>
      <c r="F4" s="5" t="s">
        <v>22</v>
      </c>
    </row>
    <row r="5" spans="1:6">
      <c r="A5" s="6" t="s">
        <v>23</v>
      </c>
      <c r="B5" s="7">
        <f>COUNTIF('02_WBS全体'!B:B,A5)</f>
        <v>6</v>
      </c>
      <c r="C5" s="7">
        <f>COUNTIFS('02_WBS全体'!B:B,A5,'02_WBS全体'!F:F,"完了")</f>
        <v>3</v>
      </c>
      <c r="D5" s="8">
        <f t="shared" ref="D5:D17" si="0">IF(B5=0,0,C5/B5)</f>
        <v>0.5</v>
      </c>
      <c r="E5" s="7">
        <f>SUMIF('02_WBS全体'!B:B,A5,'02_WBS全体'!H:H)</f>
        <v>13</v>
      </c>
      <c r="F5" s="7">
        <f>COUNTIFS('02_WBS全体'!B:B,A5,'02_WBS全体'!I:I,"High")</f>
        <v>4</v>
      </c>
    </row>
    <row r="6" spans="1:6">
      <c r="A6" s="6" t="s">
        <v>24</v>
      </c>
      <c r="B6" s="7">
        <f>COUNTIF('02_WBS全体'!B:B,A6)</f>
        <v>9</v>
      </c>
      <c r="C6" s="7">
        <f>COUNTIFS('02_WBS全体'!B:B,A6,'02_WBS全体'!F:F,"完了")</f>
        <v>9</v>
      </c>
      <c r="D6" s="8">
        <f t="shared" si="0"/>
        <v>1</v>
      </c>
      <c r="E6" s="7">
        <f>SUMIF('02_WBS全体'!B:B,A6,'02_WBS全体'!H:H)</f>
        <v>19</v>
      </c>
      <c r="F6" s="7">
        <f>COUNTIFS('02_WBS全体'!B:B,A6,'02_WBS全体'!I:I,"High")</f>
        <v>6</v>
      </c>
    </row>
    <row r="7" spans="1:6">
      <c r="A7" s="6" t="s">
        <v>25</v>
      </c>
      <c r="B7" s="7">
        <f>COUNTIF('02_WBS全体'!B:B,A7)</f>
        <v>8</v>
      </c>
      <c r="C7" s="7">
        <f>COUNTIFS('02_WBS全体'!B:B,A7,'02_WBS全体'!F:F,"完了")</f>
        <v>8</v>
      </c>
      <c r="D7" s="8">
        <f t="shared" si="0"/>
        <v>1</v>
      </c>
      <c r="E7" s="7">
        <f>SUMIF('02_WBS全体'!B:B,A7,'02_WBS全体'!H:H)</f>
        <v>20</v>
      </c>
      <c r="F7" s="7">
        <f>COUNTIFS('02_WBS全体'!B:B,A7,'02_WBS全体'!I:I,"High")</f>
        <v>7</v>
      </c>
    </row>
    <row r="8" spans="1:6">
      <c r="A8" s="6" t="s">
        <v>26</v>
      </c>
      <c r="B8" s="7">
        <f>COUNTIF('02_WBS全体'!B:B,A8)</f>
        <v>7</v>
      </c>
      <c r="C8" s="7">
        <f>COUNTIFS('02_WBS全体'!B:B,A8,'02_WBS全体'!F:F,"完了")</f>
        <v>7</v>
      </c>
      <c r="D8" s="8">
        <f t="shared" si="0"/>
        <v>1</v>
      </c>
      <c r="E8" s="7">
        <f>SUMIF('02_WBS全体'!B:B,A8,'02_WBS全体'!H:H)</f>
        <v>21</v>
      </c>
      <c r="F8" s="7">
        <f>COUNTIFS('02_WBS全体'!B:B,A8,'02_WBS全体'!I:I,"High")</f>
        <v>6</v>
      </c>
    </row>
    <row r="9" spans="1:6">
      <c r="A9" s="6" t="s">
        <v>27</v>
      </c>
      <c r="B9" s="7">
        <f>COUNTIF('02_WBS全体'!B:B,A9)</f>
        <v>11</v>
      </c>
      <c r="C9" s="7">
        <f>COUNTIFS('02_WBS全体'!B:B,A9,'02_WBS全体'!F:F,"完了")</f>
        <v>7</v>
      </c>
      <c r="D9" s="8">
        <f t="shared" si="0"/>
        <v>0.63636363636363635</v>
      </c>
      <c r="E9" s="7">
        <f>SUMIF('02_WBS全体'!B:B,A9,'02_WBS全体'!H:H)</f>
        <v>32</v>
      </c>
      <c r="F9" s="7">
        <f>COUNTIFS('02_WBS全体'!B:B,A9,'02_WBS全体'!I:I,"High")</f>
        <v>11</v>
      </c>
    </row>
    <row r="10" spans="1:6">
      <c r="A10" s="6" t="s">
        <v>28</v>
      </c>
      <c r="B10" s="7">
        <f>COUNTIF('02_WBS全体'!B:B,A10)</f>
        <v>4</v>
      </c>
      <c r="C10" s="7">
        <f>COUNTIFS('02_WBS全体'!B:B,A10,'02_WBS全体'!F:F,"完了")</f>
        <v>0</v>
      </c>
      <c r="D10" s="8">
        <f t="shared" si="0"/>
        <v>0</v>
      </c>
      <c r="E10" s="7">
        <f>SUMIF('02_WBS全体'!B:B,A10,'02_WBS全体'!H:H)</f>
        <v>11</v>
      </c>
      <c r="F10" s="7">
        <f>COUNTIFS('02_WBS全体'!B:B,A10,'02_WBS全体'!I:I,"High")</f>
        <v>4</v>
      </c>
    </row>
    <row r="11" spans="1:6">
      <c r="A11" s="6" t="s">
        <v>29</v>
      </c>
      <c r="B11" s="7">
        <f>COUNTIF('02_WBS全体'!B:B,A11)</f>
        <v>6</v>
      </c>
      <c r="C11" s="7">
        <f>COUNTIFS('02_WBS全体'!B:B,A11,'02_WBS全体'!F:F,"完了")</f>
        <v>0</v>
      </c>
      <c r="D11" s="8">
        <f t="shared" si="0"/>
        <v>0</v>
      </c>
      <c r="E11" s="7">
        <f>SUMIF('02_WBS全体'!B:B,A11,'02_WBS全体'!H:H)</f>
        <v>15</v>
      </c>
      <c r="F11" s="7">
        <f>COUNTIFS('02_WBS全体'!B:B,A11,'02_WBS全体'!I:I,"High")</f>
        <v>0</v>
      </c>
    </row>
    <row r="12" spans="1:6">
      <c r="A12" s="6" t="s">
        <v>30</v>
      </c>
      <c r="B12" s="7">
        <f>COUNTIF('02_WBS全体'!B:B,A12)</f>
        <v>8</v>
      </c>
      <c r="C12" s="7">
        <f>COUNTIFS('02_WBS全体'!B:B,A12,'02_WBS全体'!F:F,"完了")</f>
        <v>0</v>
      </c>
      <c r="D12" s="8">
        <f t="shared" si="0"/>
        <v>0</v>
      </c>
      <c r="E12" s="7">
        <f>SUMIF('02_WBS全体'!B:B,A12,'02_WBS全体'!H:H)</f>
        <v>22</v>
      </c>
      <c r="F12" s="7">
        <f>COUNTIFS('02_WBS全体'!B:B,A12,'02_WBS全体'!I:I,"High")</f>
        <v>0</v>
      </c>
    </row>
    <row r="13" spans="1:6">
      <c r="A13" s="6" t="s">
        <v>31</v>
      </c>
      <c r="B13" s="7">
        <f>COUNTIF('02_WBS全体'!B:B,A13)</f>
        <v>5</v>
      </c>
      <c r="C13" s="7">
        <f>COUNTIFS('02_WBS全体'!B:B,A13,'02_WBS全体'!F:F,"完了")</f>
        <v>0</v>
      </c>
      <c r="D13" s="8">
        <f t="shared" si="0"/>
        <v>0</v>
      </c>
      <c r="E13" s="7">
        <f>SUMIF('02_WBS全体'!B:B,A13,'02_WBS全体'!H:H)</f>
        <v>16</v>
      </c>
      <c r="F13" s="7">
        <f>COUNTIFS('02_WBS全体'!B:B,A13,'02_WBS全体'!I:I,"High")</f>
        <v>0</v>
      </c>
    </row>
    <row r="14" spans="1:6">
      <c r="A14" s="6" t="s">
        <v>32</v>
      </c>
      <c r="B14" s="7">
        <f>COUNTIF('02_WBS全体'!B:B,A14)</f>
        <v>9</v>
      </c>
      <c r="C14" s="7">
        <f>COUNTIFS('02_WBS全体'!B:B,A14,'02_WBS全体'!F:F,"完了")</f>
        <v>0</v>
      </c>
      <c r="D14" s="8">
        <f t="shared" si="0"/>
        <v>0</v>
      </c>
      <c r="E14" s="7">
        <f>SUMIF('02_WBS全体'!B:B,A14,'02_WBS全体'!H:H)</f>
        <v>22</v>
      </c>
      <c r="F14" s="7">
        <f>COUNTIFS('02_WBS全体'!B:B,A14,'02_WBS全体'!I:I,"High")</f>
        <v>5</v>
      </c>
    </row>
    <row r="15" spans="1:6">
      <c r="A15" s="6" t="s">
        <v>33</v>
      </c>
      <c r="B15" s="7">
        <f>COUNTIF('02_WBS全体'!B:B,A15)</f>
        <v>7</v>
      </c>
      <c r="C15" s="7">
        <f>COUNTIFS('02_WBS全体'!B:B,A15,'02_WBS全体'!F:F,"完了")</f>
        <v>0</v>
      </c>
      <c r="D15" s="8">
        <f t="shared" si="0"/>
        <v>0</v>
      </c>
      <c r="E15" s="7">
        <f>SUMIF('02_WBS全体'!B:B,A15,'02_WBS全体'!H:H)</f>
        <v>19</v>
      </c>
      <c r="F15" s="7">
        <f>COUNTIFS('02_WBS全体'!B:B,A15,'02_WBS全体'!I:I,"High")</f>
        <v>2</v>
      </c>
    </row>
    <row r="16" spans="1:6">
      <c r="A16" s="6" t="s">
        <v>34</v>
      </c>
      <c r="B16" s="7">
        <f>COUNTIF('02_WBS全体'!B:B,A16)</f>
        <v>6</v>
      </c>
      <c r="C16" s="7">
        <f>COUNTIFS('02_WBS全体'!B:B,A16,'02_WBS全体'!F:F,"完了")</f>
        <v>0</v>
      </c>
      <c r="D16" s="8">
        <f t="shared" si="0"/>
        <v>0</v>
      </c>
      <c r="E16" s="7">
        <f>SUMIF('02_WBS全体'!B:B,A16,'02_WBS全体'!H:H)</f>
        <v>16</v>
      </c>
      <c r="F16" s="7">
        <f>COUNTIFS('02_WBS全体'!B:B,A16,'02_WBS全体'!I:I,"High")</f>
        <v>3</v>
      </c>
    </row>
    <row r="17" spans="1:6">
      <c r="A17" s="9" t="s">
        <v>35</v>
      </c>
      <c r="B17" s="10">
        <f>SUM(B5:B16)</f>
        <v>86</v>
      </c>
      <c r="C17" s="10">
        <f>SUM(C5:C16)</f>
        <v>34</v>
      </c>
      <c r="D17" s="11">
        <f t="shared" si="0"/>
        <v>0.39534883720930231</v>
      </c>
      <c r="E17" s="10">
        <f>SUM(E5:E16)</f>
        <v>226</v>
      </c>
      <c r="F17" s="10">
        <f>SUM(F5:F16)</f>
        <v>48</v>
      </c>
    </row>
  </sheetData>
  <phoneticPr fontId="5"/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90"/>
  <sheetViews>
    <sheetView showGridLines="0" tabSelected="1" topLeftCell="B1" zoomScale="110" zoomScaleNormal="110" workbookViewId="0">
      <pane ySplit="4" topLeftCell="A8" activePane="bottomLeft" state="frozen"/>
      <selection pane="bottomLeft" activeCell="A43" sqref="A43:K44"/>
    </sheetView>
  </sheetViews>
  <sheetFormatPr baseColWidth="10" defaultColWidth="10.6640625" defaultRowHeight="14"/>
  <cols>
    <col min="1" max="1" width="13.6640625" customWidth="1"/>
    <col min="2" max="2" width="20.1640625" bestFit="1" customWidth="1"/>
    <col min="3" max="3" width="18.1640625" bestFit="1" customWidth="1"/>
    <col min="4" max="4" width="32.6640625" bestFit="1" customWidth="1"/>
    <col min="5" max="5" width="52.6640625" bestFit="1" customWidth="1"/>
    <col min="6" max="6" width="14.6640625" bestFit="1" customWidth="1"/>
    <col min="7" max="7" width="9.6640625" bestFit="1" customWidth="1"/>
    <col min="8" max="8" width="15.33203125" bestFit="1" customWidth="1"/>
    <col min="9" max="9" width="11.6640625" bestFit="1" customWidth="1"/>
    <col min="10" max="10" width="42.6640625" bestFit="1" customWidth="1"/>
    <col min="11" max="11" width="20.1640625" bestFit="1" customWidth="1"/>
  </cols>
  <sheetData>
    <row r="1" spans="1:11" ht="17">
      <c r="A1" s="1" t="s">
        <v>36</v>
      </c>
    </row>
    <row r="2" spans="1:11">
      <c r="A2" s="2" t="s">
        <v>37</v>
      </c>
    </row>
    <row r="4" spans="1:11">
      <c r="A4" s="5" t="s">
        <v>751</v>
      </c>
      <c r="B4" s="5" t="s">
        <v>17</v>
      </c>
      <c r="C4" s="5" t="s">
        <v>38</v>
      </c>
      <c r="D4" s="5" t="s">
        <v>39</v>
      </c>
      <c r="E4" s="5" t="s">
        <v>40</v>
      </c>
      <c r="F4" s="5" t="s">
        <v>41</v>
      </c>
      <c r="G4" s="5" t="s">
        <v>42</v>
      </c>
      <c r="H4" s="5" t="s">
        <v>43</v>
      </c>
      <c r="I4" s="5" t="s">
        <v>44</v>
      </c>
      <c r="J4" s="5" t="s">
        <v>45</v>
      </c>
    </row>
    <row r="5" spans="1:11" ht="15" hidden="1">
      <c r="A5" s="12" t="s">
        <v>46</v>
      </c>
      <c r="B5" t="s">
        <v>23</v>
      </c>
      <c r="C5" t="s">
        <v>47</v>
      </c>
      <c r="D5" t="s">
        <v>48</v>
      </c>
      <c r="E5" s="4" t="s">
        <v>49</v>
      </c>
      <c r="F5" s="12" t="s">
        <v>752</v>
      </c>
      <c r="H5" s="13">
        <v>4</v>
      </c>
      <c r="I5" s="12" t="s">
        <v>51</v>
      </c>
      <c r="J5" s="4" t="s">
        <v>52</v>
      </c>
      <c r="K5" t="s">
        <v>53</v>
      </c>
    </row>
    <row r="6" spans="1:11" ht="15" hidden="1">
      <c r="A6" s="12" t="s">
        <v>54</v>
      </c>
      <c r="B6" t="s">
        <v>23</v>
      </c>
      <c r="C6" t="s">
        <v>47</v>
      </c>
      <c r="D6" t="s">
        <v>55</v>
      </c>
      <c r="E6" s="4" t="s">
        <v>56</v>
      </c>
      <c r="F6" s="12" t="s">
        <v>752</v>
      </c>
      <c r="G6" t="s">
        <v>46</v>
      </c>
      <c r="H6" s="13">
        <v>2</v>
      </c>
      <c r="I6" s="12" t="s">
        <v>51</v>
      </c>
      <c r="J6" s="4" t="s">
        <v>57</v>
      </c>
      <c r="K6" t="s">
        <v>58</v>
      </c>
    </row>
    <row r="7" spans="1:11" ht="15" hidden="1">
      <c r="A7" s="12" t="s">
        <v>59</v>
      </c>
      <c r="B7" t="s">
        <v>23</v>
      </c>
      <c r="C7" t="s">
        <v>47</v>
      </c>
      <c r="D7" t="s">
        <v>60</v>
      </c>
      <c r="E7" s="4" t="s">
        <v>61</v>
      </c>
      <c r="F7" s="12" t="s">
        <v>752</v>
      </c>
      <c r="G7" t="s">
        <v>46</v>
      </c>
      <c r="H7" s="13">
        <v>2</v>
      </c>
      <c r="I7" s="12" t="s">
        <v>51</v>
      </c>
      <c r="J7" s="4" t="s">
        <v>62</v>
      </c>
      <c r="K7" t="s">
        <v>63</v>
      </c>
    </row>
    <row r="8" spans="1:11" ht="15">
      <c r="A8" s="12" t="s">
        <v>64</v>
      </c>
      <c r="B8" t="s">
        <v>23</v>
      </c>
      <c r="C8" t="s">
        <v>65</v>
      </c>
      <c r="D8" t="s">
        <v>66</v>
      </c>
      <c r="E8" s="4" t="s">
        <v>67</v>
      </c>
      <c r="F8" s="12" t="s">
        <v>50</v>
      </c>
      <c r="G8" t="s">
        <v>59</v>
      </c>
      <c r="H8" s="13">
        <v>2</v>
      </c>
      <c r="I8" s="12" t="s">
        <v>51</v>
      </c>
      <c r="J8" s="4" t="s">
        <v>68</v>
      </c>
      <c r="K8" t="s">
        <v>69</v>
      </c>
    </row>
    <row r="9" spans="1:11" ht="15">
      <c r="A9" s="12" t="s">
        <v>70</v>
      </c>
      <c r="B9" t="s">
        <v>23</v>
      </c>
      <c r="C9" t="s">
        <v>71</v>
      </c>
      <c r="D9" t="s">
        <v>72</v>
      </c>
      <c r="E9" s="4" t="s">
        <v>73</v>
      </c>
      <c r="F9" s="12" t="s">
        <v>50</v>
      </c>
      <c r="G9" t="s">
        <v>46</v>
      </c>
      <c r="H9" s="13">
        <v>2</v>
      </c>
      <c r="I9" s="12" t="s">
        <v>74</v>
      </c>
      <c r="J9" s="4" t="s">
        <v>75</v>
      </c>
      <c r="K9" t="s">
        <v>76</v>
      </c>
    </row>
    <row r="10" spans="1:11" ht="15">
      <c r="A10" s="12" t="s">
        <v>77</v>
      </c>
      <c r="B10" t="s">
        <v>23</v>
      </c>
      <c r="C10" t="s">
        <v>78</v>
      </c>
      <c r="D10" t="s">
        <v>79</v>
      </c>
      <c r="E10" s="4" t="s">
        <v>80</v>
      </c>
      <c r="F10" s="12" t="s">
        <v>50</v>
      </c>
      <c r="G10" t="s">
        <v>46</v>
      </c>
      <c r="H10" s="13">
        <v>1</v>
      </c>
      <c r="I10" s="12" t="s">
        <v>74</v>
      </c>
      <c r="J10" s="4" t="s">
        <v>81</v>
      </c>
      <c r="K10" t="s">
        <v>82</v>
      </c>
    </row>
    <row r="11" spans="1:11" ht="15" hidden="1">
      <c r="A11" s="12" t="s">
        <v>83</v>
      </c>
      <c r="B11" t="s">
        <v>24</v>
      </c>
      <c r="C11" t="s">
        <v>84</v>
      </c>
      <c r="D11" t="s">
        <v>85</v>
      </c>
      <c r="E11" s="4" t="s">
        <v>86</v>
      </c>
      <c r="F11" s="12" t="s">
        <v>752</v>
      </c>
      <c r="G11" t="s">
        <v>54</v>
      </c>
      <c r="H11" s="13">
        <v>2</v>
      </c>
      <c r="I11" s="12" t="s">
        <v>51</v>
      </c>
      <c r="J11" s="4" t="s">
        <v>87</v>
      </c>
      <c r="K11" t="s">
        <v>88</v>
      </c>
    </row>
    <row r="12" spans="1:11" ht="15" hidden="1">
      <c r="A12" s="12" t="s">
        <v>89</v>
      </c>
      <c r="B12" t="s">
        <v>24</v>
      </c>
      <c r="C12" t="s">
        <v>84</v>
      </c>
      <c r="D12" t="s">
        <v>90</v>
      </c>
      <c r="E12" s="4" t="s">
        <v>91</v>
      </c>
      <c r="F12" s="12" t="s">
        <v>752</v>
      </c>
      <c r="G12" t="s">
        <v>83</v>
      </c>
      <c r="H12" s="13">
        <v>2</v>
      </c>
      <c r="I12" s="12" t="s">
        <v>74</v>
      </c>
      <c r="J12" s="4" t="s">
        <v>92</v>
      </c>
      <c r="K12" t="s">
        <v>93</v>
      </c>
    </row>
    <row r="13" spans="1:11" ht="15" hidden="1">
      <c r="A13" s="12" t="s">
        <v>94</v>
      </c>
      <c r="B13" t="s">
        <v>24</v>
      </c>
      <c r="C13" t="s">
        <v>84</v>
      </c>
      <c r="D13" t="s">
        <v>95</v>
      </c>
      <c r="E13" s="4" t="s">
        <v>96</v>
      </c>
      <c r="F13" s="12" t="s">
        <v>752</v>
      </c>
      <c r="G13" t="s">
        <v>83</v>
      </c>
      <c r="H13" s="13">
        <v>1</v>
      </c>
      <c r="I13" s="12" t="s">
        <v>51</v>
      </c>
      <c r="J13" s="4" t="s">
        <v>97</v>
      </c>
      <c r="K13" t="s">
        <v>98</v>
      </c>
    </row>
    <row r="14" spans="1:11" ht="15" hidden="1">
      <c r="A14" s="12" t="s">
        <v>99</v>
      </c>
      <c r="B14" t="s">
        <v>24</v>
      </c>
      <c r="C14" t="s">
        <v>100</v>
      </c>
      <c r="D14" t="s">
        <v>101</v>
      </c>
      <c r="E14" s="4" t="s">
        <v>102</v>
      </c>
      <c r="F14" s="12" t="s">
        <v>752</v>
      </c>
      <c r="G14" t="s">
        <v>89</v>
      </c>
      <c r="H14" s="13">
        <v>2</v>
      </c>
      <c r="I14" s="12" t="s">
        <v>51</v>
      </c>
      <c r="J14" s="4" t="s">
        <v>103</v>
      </c>
      <c r="K14" t="s">
        <v>104</v>
      </c>
    </row>
    <row r="15" spans="1:11" ht="15" hidden="1">
      <c r="A15" s="12" t="s">
        <v>105</v>
      </c>
      <c r="B15" t="s">
        <v>24</v>
      </c>
      <c r="C15" t="s">
        <v>100</v>
      </c>
      <c r="D15" t="s">
        <v>106</v>
      </c>
      <c r="E15" s="4" t="s">
        <v>107</v>
      </c>
      <c r="F15" s="12" t="s">
        <v>752</v>
      </c>
      <c r="G15" t="s">
        <v>89</v>
      </c>
      <c r="H15" s="13">
        <v>3</v>
      </c>
      <c r="I15" s="12" t="s">
        <v>51</v>
      </c>
      <c r="J15" s="4" t="s">
        <v>108</v>
      </c>
      <c r="K15" t="s">
        <v>104</v>
      </c>
    </row>
    <row r="16" spans="1:11" ht="15" hidden="1">
      <c r="A16" s="12" t="s">
        <v>109</v>
      </c>
      <c r="B16" t="s">
        <v>24</v>
      </c>
      <c r="C16" t="s">
        <v>100</v>
      </c>
      <c r="D16" t="s">
        <v>110</v>
      </c>
      <c r="E16" s="4" t="s">
        <v>111</v>
      </c>
      <c r="F16" s="12" t="s">
        <v>752</v>
      </c>
      <c r="G16" t="s">
        <v>99</v>
      </c>
      <c r="H16" s="13">
        <v>3</v>
      </c>
      <c r="I16" s="12" t="s">
        <v>51</v>
      </c>
      <c r="J16" s="4" t="s">
        <v>112</v>
      </c>
      <c r="K16" t="s">
        <v>113</v>
      </c>
    </row>
    <row r="17" spans="1:11" ht="15" hidden="1">
      <c r="A17" s="12" t="s">
        <v>114</v>
      </c>
      <c r="B17" t="s">
        <v>24</v>
      </c>
      <c r="C17" t="s">
        <v>115</v>
      </c>
      <c r="D17" t="s">
        <v>116</v>
      </c>
      <c r="E17" s="4" t="s">
        <v>117</v>
      </c>
      <c r="F17" s="12" t="s">
        <v>752</v>
      </c>
      <c r="G17" t="s">
        <v>105</v>
      </c>
      <c r="H17" s="13">
        <v>3</v>
      </c>
      <c r="I17" s="12" t="s">
        <v>51</v>
      </c>
      <c r="J17" s="4" t="s">
        <v>118</v>
      </c>
      <c r="K17" t="s">
        <v>119</v>
      </c>
    </row>
    <row r="18" spans="1:11" ht="15" hidden="1">
      <c r="A18" s="12" t="s">
        <v>120</v>
      </c>
      <c r="B18" t="s">
        <v>24</v>
      </c>
      <c r="C18" t="s">
        <v>121</v>
      </c>
      <c r="D18" t="s">
        <v>122</v>
      </c>
      <c r="E18" s="4" t="s">
        <v>754</v>
      </c>
      <c r="F18" s="12" t="s">
        <v>752</v>
      </c>
      <c r="G18" t="s">
        <v>114</v>
      </c>
      <c r="H18" s="13">
        <v>2</v>
      </c>
      <c r="I18" s="12" t="s">
        <v>74</v>
      </c>
      <c r="J18" s="4" t="s">
        <v>123</v>
      </c>
      <c r="K18" t="s">
        <v>124</v>
      </c>
    </row>
    <row r="19" spans="1:11" ht="15" hidden="1">
      <c r="A19" s="12" t="s">
        <v>125</v>
      </c>
      <c r="B19" t="s">
        <v>24</v>
      </c>
      <c r="C19" t="s">
        <v>126</v>
      </c>
      <c r="D19" t="s">
        <v>127</v>
      </c>
      <c r="E19" s="4" t="s">
        <v>128</v>
      </c>
      <c r="F19" s="12" t="s">
        <v>752</v>
      </c>
      <c r="G19" t="s">
        <v>109</v>
      </c>
      <c r="H19" s="13">
        <v>1</v>
      </c>
      <c r="I19" s="12" t="s">
        <v>129</v>
      </c>
      <c r="J19" s="4" t="s">
        <v>130</v>
      </c>
      <c r="K19" t="s">
        <v>131</v>
      </c>
    </row>
    <row r="20" spans="1:11" ht="15" hidden="1">
      <c r="A20" s="12" t="s">
        <v>132</v>
      </c>
      <c r="B20" t="s">
        <v>753</v>
      </c>
      <c r="C20" t="s">
        <v>133</v>
      </c>
      <c r="D20" t="s">
        <v>134</v>
      </c>
      <c r="E20" s="4" t="s">
        <v>135</v>
      </c>
      <c r="F20" s="12" t="s">
        <v>752</v>
      </c>
      <c r="G20" t="s">
        <v>99</v>
      </c>
      <c r="H20" s="13">
        <v>1</v>
      </c>
      <c r="I20" s="12" t="s">
        <v>51</v>
      </c>
      <c r="J20" s="4" t="s">
        <v>136</v>
      </c>
      <c r="K20" t="s">
        <v>137</v>
      </c>
    </row>
    <row r="21" spans="1:11" ht="15" hidden="1">
      <c r="A21" s="12" t="s">
        <v>138</v>
      </c>
      <c r="B21" t="s">
        <v>25</v>
      </c>
      <c r="C21" t="s">
        <v>133</v>
      </c>
      <c r="D21" t="s">
        <v>139</v>
      </c>
      <c r="E21" s="4" t="s">
        <v>140</v>
      </c>
      <c r="F21" s="12" t="s">
        <v>752</v>
      </c>
      <c r="G21" t="s">
        <v>132</v>
      </c>
      <c r="H21" s="13">
        <v>3</v>
      </c>
      <c r="I21" s="12" t="s">
        <v>51</v>
      </c>
      <c r="J21" s="4" t="s">
        <v>141</v>
      </c>
      <c r="K21" t="s">
        <v>142</v>
      </c>
    </row>
    <row r="22" spans="1:11" ht="15" hidden="1">
      <c r="A22" s="12" t="s">
        <v>143</v>
      </c>
      <c r="B22" t="s">
        <v>25</v>
      </c>
      <c r="C22" t="s">
        <v>133</v>
      </c>
      <c r="D22" t="s">
        <v>144</v>
      </c>
      <c r="E22" s="4" t="s">
        <v>145</v>
      </c>
      <c r="F22" s="12" t="s">
        <v>752</v>
      </c>
      <c r="G22" t="s">
        <v>132</v>
      </c>
      <c r="H22" s="13">
        <v>3</v>
      </c>
      <c r="I22" s="12" t="s">
        <v>51</v>
      </c>
      <c r="J22" s="4" t="s">
        <v>146</v>
      </c>
      <c r="K22" t="s">
        <v>147</v>
      </c>
    </row>
    <row r="23" spans="1:11" ht="15" hidden="1">
      <c r="A23" s="12" t="s">
        <v>148</v>
      </c>
      <c r="B23" t="s">
        <v>25</v>
      </c>
      <c r="C23" t="s">
        <v>149</v>
      </c>
      <c r="D23" t="s">
        <v>150</v>
      </c>
      <c r="E23" s="4" t="s">
        <v>151</v>
      </c>
      <c r="F23" s="12" t="s">
        <v>752</v>
      </c>
      <c r="G23" t="s">
        <v>143</v>
      </c>
      <c r="H23" s="13">
        <v>3</v>
      </c>
      <c r="I23" s="12" t="s">
        <v>51</v>
      </c>
      <c r="J23" s="4" t="s">
        <v>152</v>
      </c>
      <c r="K23" t="s">
        <v>153</v>
      </c>
    </row>
    <row r="24" spans="1:11" ht="15" hidden="1">
      <c r="A24" s="12" t="s">
        <v>154</v>
      </c>
      <c r="B24" t="s">
        <v>25</v>
      </c>
      <c r="C24" t="s">
        <v>149</v>
      </c>
      <c r="D24" t="s">
        <v>155</v>
      </c>
      <c r="E24" s="4" t="s">
        <v>156</v>
      </c>
      <c r="F24" s="12" t="s">
        <v>752</v>
      </c>
      <c r="G24" t="s">
        <v>148</v>
      </c>
      <c r="H24" s="13">
        <v>3</v>
      </c>
      <c r="I24" s="12" t="s">
        <v>51</v>
      </c>
      <c r="J24" s="4" t="s">
        <v>157</v>
      </c>
      <c r="K24" t="s">
        <v>158</v>
      </c>
    </row>
    <row r="25" spans="1:11" ht="15" hidden="1">
      <c r="A25" s="12" t="s">
        <v>159</v>
      </c>
      <c r="B25" t="s">
        <v>25</v>
      </c>
      <c r="C25" t="s">
        <v>160</v>
      </c>
      <c r="D25" t="s">
        <v>161</v>
      </c>
      <c r="E25" s="4" t="s">
        <v>162</v>
      </c>
      <c r="F25" s="12" t="s">
        <v>752</v>
      </c>
      <c r="G25" t="s">
        <v>154</v>
      </c>
      <c r="H25" s="13">
        <v>3</v>
      </c>
      <c r="I25" s="12" t="s">
        <v>51</v>
      </c>
      <c r="J25" s="4" t="s">
        <v>163</v>
      </c>
      <c r="K25" t="s">
        <v>164</v>
      </c>
    </row>
    <row r="26" spans="1:11" ht="15" hidden="1">
      <c r="A26" s="12" t="s">
        <v>165</v>
      </c>
      <c r="B26" t="s">
        <v>25</v>
      </c>
      <c r="C26" t="s">
        <v>160</v>
      </c>
      <c r="D26" t="s">
        <v>166</v>
      </c>
      <c r="E26" s="4" t="s">
        <v>167</v>
      </c>
      <c r="F26" s="12" t="s">
        <v>752</v>
      </c>
      <c r="G26" t="s">
        <v>159</v>
      </c>
      <c r="H26" s="13">
        <v>2</v>
      </c>
      <c r="I26" s="12" t="s">
        <v>74</v>
      </c>
      <c r="J26" s="4" t="s">
        <v>168</v>
      </c>
      <c r="K26" t="s">
        <v>169</v>
      </c>
    </row>
    <row r="27" spans="1:11" ht="15" hidden="1">
      <c r="A27" s="12" t="s">
        <v>170</v>
      </c>
      <c r="B27" t="s">
        <v>25</v>
      </c>
      <c r="C27" t="s">
        <v>171</v>
      </c>
      <c r="D27" t="s">
        <v>172</v>
      </c>
      <c r="E27" s="4" t="s">
        <v>173</v>
      </c>
      <c r="F27" s="12" t="s">
        <v>752</v>
      </c>
      <c r="G27" t="s">
        <v>159</v>
      </c>
      <c r="H27" s="13">
        <v>2</v>
      </c>
      <c r="I27" s="12" t="s">
        <v>51</v>
      </c>
      <c r="J27" s="4" t="s">
        <v>174</v>
      </c>
      <c r="K27" t="s">
        <v>175</v>
      </c>
    </row>
    <row r="28" spans="1:11" ht="15" hidden="1">
      <c r="A28" s="12" t="s">
        <v>176</v>
      </c>
      <c r="B28" t="s">
        <v>755</v>
      </c>
      <c r="C28" t="s">
        <v>177</v>
      </c>
      <c r="D28" t="s">
        <v>178</v>
      </c>
      <c r="E28" s="4" t="s">
        <v>179</v>
      </c>
      <c r="F28" s="12" t="s">
        <v>752</v>
      </c>
      <c r="G28" t="s">
        <v>180</v>
      </c>
      <c r="H28" s="13">
        <v>4</v>
      </c>
      <c r="I28" s="12" t="s">
        <v>51</v>
      </c>
      <c r="J28" s="4" t="s">
        <v>181</v>
      </c>
      <c r="K28" t="s">
        <v>142</v>
      </c>
    </row>
    <row r="29" spans="1:11" ht="15" hidden="1">
      <c r="A29" s="12" t="s">
        <v>182</v>
      </c>
      <c r="B29" t="s">
        <v>26</v>
      </c>
      <c r="C29" t="s">
        <v>177</v>
      </c>
      <c r="D29" t="s">
        <v>183</v>
      </c>
      <c r="E29" s="4" t="s">
        <v>184</v>
      </c>
      <c r="F29" s="12" t="s">
        <v>752</v>
      </c>
      <c r="G29" t="s">
        <v>176</v>
      </c>
      <c r="H29" s="13">
        <v>3</v>
      </c>
      <c r="I29" s="12" t="s">
        <v>51</v>
      </c>
      <c r="J29" s="4" t="s">
        <v>185</v>
      </c>
      <c r="K29" t="s">
        <v>186</v>
      </c>
    </row>
    <row r="30" spans="1:11" ht="15" hidden="1">
      <c r="A30" s="12" t="s">
        <v>187</v>
      </c>
      <c r="B30" t="s">
        <v>26</v>
      </c>
      <c r="C30" t="s">
        <v>177</v>
      </c>
      <c r="D30" t="s">
        <v>188</v>
      </c>
      <c r="E30" s="4" t="s">
        <v>189</v>
      </c>
      <c r="F30" s="12" t="s">
        <v>752</v>
      </c>
      <c r="G30" t="s">
        <v>176</v>
      </c>
      <c r="H30" s="13">
        <v>2</v>
      </c>
      <c r="I30" s="12" t="s">
        <v>51</v>
      </c>
      <c r="J30" s="4" t="s">
        <v>190</v>
      </c>
      <c r="K30" t="s">
        <v>191</v>
      </c>
    </row>
    <row r="31" spans="1:11" ht="15" hidden="1">
      <c r="A31" s="12" t="s">
        <v>192</v>
      </c>
      <c r="B31" t="s">
        <v>26</v>
      </c>
      <c r="C31" t="s">
        <v>177</v>
      </c>
      <c r="D31" t="s">
        <v>193</v>
      </c>
      <c r="E31" s="4" t="s">
        <v>194</v>
      </c>
      <c r="F31" s="12" t="s">
        <v>752</v>
      </c>
      <c r="G31" t="s">
        <v>187</v>
      </c>
      <c r="H31" s="13">
        <v>3</v>
      </c>
      <c r="I31" s="12" t="s">
        <v>51</v>
      </c>
      <c r="J31" s="4" t="s">
        <v>195</v>
      </c>
      <c r="K31" t="s">
        <v>196</v>
      </c>
    </row>
    <row r="32" spans="1:11" ht="15" hidden="1">
      <c r="A32" s="12" t="s">
        <v>197</v>
      </c>
      <c r="B32" t="s">
        <v>26</v>
      </c>
      <c r="C32" t="s">
        <v>177</v>
      </c>
      <c r="D32" t="s">
        <v>198</v>
      </c>
      <c r="E32" s="4" t="s">
        <v>199</v>
      </c>
      <c r="F32" s="12" t="s">
        <v>752</v>
      </c>
      <c r="G32" t="s">
        <v>187</v>
      </c>
      <c r="H32" s="13">
        <v>2</v>
      </c>
      <c r="I32" s="12" t="s">
        <v>51</v>
      </c>
      <c r="J32" s="4" t="s">
        <v>200</v>
      </c>
      <c r="K32" t="s">
        <v>201</v>
      </c>
    </row>
    <row r="33" spans="1:11" ht="15" hidden="1">
      <c r="A33" s="12" t="s">
        <v>202</v>
      </c>
      <c r="B33" t="s">
        <v>26</v>
      </c>
      <c r="C33" t="s">
        <v>177</v>
      </c>
      <c r="D33" t="s">
        <v>203</v>
      </c>
      <c r="E33" s="4" t="s">
        <v>204</v>
      </c>
      <c r="F33" s="12" t="s">
        <v>752</v>
      </c>
      <c r="G33" t="s">
        <v>182</v>
      </c>
      <c r="H33" s="13">
        <v>3</v>
      </c>
      <c r="I33" s="12" t="s">
        <v>74</v>
      </c>
      <c r="J33" s="4" t="s">
        <v>205</v>
      </c>
      <c r="K33" t="s">
        <v>206</v>
      </c>
    </row>
    <row r="34" spans="1:11" ht="15" hidden="1">
      <c r="A34" s="12" t="s">
        <v>207</v>
      </c>
      <c r="B34" t="s">
        <v>26</v>
      </c>
      <c r="C34" t="s">
        <v>171</v>
      </c>
      <c r="D34" t="s">
        <v>208</v>
      </c>
      <c r="E34" s="4" t="s">
        <v>209</v>
      </c>
      <c r="F34" s="12" t="s">
        <v>752</v>
      </c>
      <c r="G34" t="s">
        <v>197</v>
      </c>
      <c r="H34" s="13">
        <v>4</v>
      </c>
      <c r="I34" s="12" t="s">
        <v>51</v>
      </c>
      <c r="J34" s="4" t="s">
        <v>210</v>
      </c>
      <c r="K34" t="s">
        <v>211</v>
      </c>
    </row>
    <row r="35" spans="1:11" ht="15">
      <c r="A35" s="12" t="s">
        <v>212</v>
      </c>
      <c r="B35" t="s">
        <v>27</v>
      </c>
      <c r="C35" t="s">
        <v>213</v>
      </c>
      <c r="D35" t="s">
        <v>214</v>
      </c>
      <c r="E35" s="4" t="s">
        <v>215</v>
      </c>
      <c r="F35" s="12" t="s">
        <v>50</v>
      </c>
      <c r="G35" t="s">
        <v>46</v>
      </c>
      <c r="H35" s="13">
        <v>3</v>
      </c>
      <c r="I35" s="12" t="s">
        <v>51</v>
      </c>
      <c r="J35" s="4" t="s">
        <v>216</v>
      </c>
      <c r="K35" t="s">
        <v>217</v>
      </c>
    </row>
    <row r="36" spans="1:11" ht="15" hidden="1">
      <c r="A36" s="12" t="s">
        <v>218</v>
      </c>
      <c r="B36" t="s">
        <v>27</v>
      </c>
      <c r="C36" t="s">
        <v>219</v>
      </c>
      <c r="D36" t="s">
        <v>220</v>
      </c>
      <c r="E36" s="4" t="s">
        <v>221</v>
      </c>
      <c r="F36" s="12" t="s">
        <v>752</v>
      </c>
      <c r="G36" t="s">
        <v>222</v>
      </c>
      <c r="H36" s="13">
        <v>3</v>
      </c>
      <c r="I36" s="12" t="s">
        <v>51</v>
      </c>
      <c r="J36" s="4" t="s">
        <v>223</v>
      </c>
      <c r="K36" t="s">
        <v>224</v>
      </c>
    </row>
    <row r="37" spans="1:11" ht="15" hidden="1">
      <c r="A37" s="12" t="s">
        <v>225</v>
      </c>
      <c r="B37" t="s">
        <v>27</v>
      </c>
      <c r="C37" t="s">
        <v>219</v>
      </c>
      <c r="D37" t="s">
        <v>226</v>
      </c>
      <c r="E37" s="4" t="s">
        <v>227</v>
      </c>
      <c r="F37" s="12" t="s">
        <v>752</v>
      </c>
      <c r="G37" t="s">
        <v>228</v>
      </c>
      <c r="H37" s="13">
        <v>3</v>
      </c>
      <c r="I37" s="12" t="s">
        <v>51</v>
      </c>
      <c r="J37" s="4" t="s">
        <v>229</v>
      </c>
      <c r="K37" t="s">
        <v>230</v>
      </c>
    </row>
    <row r="38" spans="1:11" ht="15" hidden="1">
      <c r="A38" s="12" t="s">
        <v>231</v>
      </c>
      <c r="B38" t="s">
        <v>27</v>
      </c>
      <c r="C38" t="s">
        <v>219</v>
      </c>
      <c r="D38" t="s">
        <v>756</v>
      </c>
      <c r="E38" s="4" t="s">
        <v>232</v>
      </c>
      <c r="F38" s="12" t="s">
        <v>752</v>
      </c>
      <c r="G38" t="s">
        <v>212</v>
      </c>
      <c r="H38" s="13">
        <v>3</v>
      </c>
      <c r="I38" s="12" t="s">
        <v>51</v>
      </c>
      <c r="J38" s="4" t="s">
        <v>233</v>
      </c>
      <c r="K38" t="s">
        <v>234</v>
      </c>
    </row>
    <row r="39" spans="1:11" ht="15" hidden="1">
      <c r="A39" s="12" t="s">
        <v>235</v>
      </c>
      <c r="B39" t="s">
        <v>27</v>
      </c>
      <c r="C39" t="s">
        <v>236</v>
      </c>
      <c r="D39" t="s">
        <v>757</v>
      </c>
      <c r="E39" s="4" t="s">
        <v>237</v>
      </c>
      <c r="F39" s="12" t="s">
        <v>752</v>
      </c>
      <c r="G39" t="s">
        <v>238</v>
      </c>
      <c r="H39" s="13">
        <v>4</v>
      </c>
      <c r="I39" s="12" t="s">
        <v>51</v>
      </c>
      <c r="J39" s="4" t="s">
        <v>239</v>
      </c>
      <c r="K39" t="s">
        <v>186</v>
      </c>
    </row>
    <row r="40" spans="1:11" ht="15" hidden="1">
      <c r="A40" s="12" t="s">
        <v>240</v>
      </c>
      <c r="B40" t="s">
        <v>27</v>
      </c>
      <c r="C40" t="s">
        <v>236</v>
      </c>
      <c r="D40" t="s">
        <v>758</v>
      </c>
      <c r="E40" s="4" t="s">
        <v>241</v>
      </c>
      <c r="F40" s="12" t="s">
        <v>752</v>
      </c>
      <c r="G40" t="s">
        <v>242</v>
      </c>
      <c r="H40" s="13">
        <v>3</v>
      </c>
      <c r="I40" s="12" t="s">
        <v>51</v>
      </c>
      <c r="J40" s="4" t="s">
        <v>243</v>
      </c>
      <c r="K40" t="s">
        <v>244</v>
      </c>
    </row>
    <row r="41" spans="1:11" ht="15" hidden="1">
      <c r="A41" s="12" t="s">
        <v>245</v>
      </c>
      <c r="B41" t="s">
        <v>27</v>
      </c>
      <c r="C41" t="s">
        <v>236</v>
      </c>
      <c r="D41" t="s">
        <v>759</v>
      </c>
      <c r="E41" s="4" t="s">
        <v>246</v>
      </c>
      <c r="F41" s="12" t="s">
        <v>752</v>
      </c>
      <c r="G41" t="s">
        <v>247</v>
      </c>
      <c r="H41" s="13">
        <v>3</v>
      </c>
      <c r="I41" s="12" t="s">
        <v>51</v>
      </c>
      <c r="J41" s="4" t="s">
        <v>248</v>
      </c>
      <c r="K41" t="s">
        <v>249</v>
      </c>
    </row>
    <row r="42" spans="1:11" ht="15">
      <c r="A42" s="12" t="s">
        <v>250</v>
      </c>
      <c r="B42" t="s">
        <v>27</v>
      </c>
      <c r="C42" t="s">
        <v>236</v>
      </c>
      <c r="D42" t="s">
        <v>251</v>
      </c>
      <c r="E42" s="4" t="s">
        <v>252</v>
      </c>
      <c r="F42" s="12" t="s">
        <v>752</v>
      </c>
      <c r="G42" t="s">
        <v>253</v>
      </c>
      <c r="H42" s="13">
        <v>3</v>
      </c>
      <c r="I42" s="12" t="s">
        <v>51</v>
      </c>
      <c r="J42" s="4" t="s">
        <v>254</v>
      </c>
      <c r="K42" t="s">
        <v>196</v>
      </c>
    </row>
    <row r="43" spans="1:11" ht="15">
      <c r="A43" s="12" t="s">
        <v>255</v>
      </c>
      <c r="B43" t="s">
        <v>27</v>
      </c>
      <c r="C43" t="s">
        <v>256</v>
      </c>
      <c r="D43" t="s">
        <v>257</v>
      </c>
      <c r="E43" s="4" t="s">
        <v>258</v>
      </c>
      <c r="F43" s="12" t="s">
        <v>50</v>
      </c>
      <c r="G43" t="s">
        <v>259</v>
      </c>
      <c r="H43" s="13">
        <v>2</v>
      </c>
      <c r="I43" s="12" t="s">
        <v>51</v>
      </c>
      <c r="J43" s="4" t="s">
        <v>260</v>
      </c>
      <c r="K43" t="s">
        <v>261</v>
      </c>
    </row>
    <row r="44" spans="1:11" ht="15">
      <c r="A44" s="12" t="s">
        <v>262</v>
      </c>
      <c r="B44" t="s">
        <v>27</v>
      </c>
      <c r="C44" t="s">
        <v>263</v>
      </c>
      <c r="D44" t="s">
        <v>264</v>
      </c>
      <c r="E44" s="4" t="s">
        <v>265</v>
      </c>
      <c r="F44" s="12" t="s">
        <v>50</v>
      </c>
      <c r="G44" t="s">
        <v>266</v>
      </c>
      <c r="H44" s="13">
        <v>2</v>
      </c>
      <c r="I44" s="12" t="s">
        <v>51</v>
      </c>
      <c r="J44" s="4" t="s">
        <v>267</v>
      </c>
      <c r="K44" t="s">
        <v>268</v>
      </c>
    </row>
    <row r="45" spans="1:11" ht="15">
      <c r="A45" s="12" t="s">
        <v>269</v>
      </c>
      <c r="B45" t="s">
        <v>27</v>
      </c>
      <c r="C45" t="s">
        <v>270</v>
      </c>
      <c r="D45" t="s">
        <v>271</v>
      </c>
      <c r="E45" s="4" t="s">
        <v>272</v>
      </c>
      <c r="F45" s="12" t="s">
        <v>50</v>
      </c>
      <c r="G45" t="s">
        <v>255</v>
      </c>
      <c r="H45" s="13">
        <v>3</v>
      </c>
      <c r="I45" s="12" t="s">
        <v>51</v>
      </c>
      <c r="J45" s="4" t="s">
        <v>273</v>
      </c>
      <c r="K45" t="s">
        <v>274</v>
      </c>
    </row>
    <row r="46" spans="1:11" ht="15">
      <c r="A46" s="12" t="s">
        <v>275</v>
      </c>
      <c r="B46" t="s">
        <v>28</v>
      </c>
      <c r="C46" t="s">
        <v>276</v>
      </c>
      <c r="D46" t="s">
        <v>277</v>
      </c>
      <c r="E46" s="4" t="s">
        <v>278</v>
      </c>
      <c r="F46" s="12" t="s">
        <v>50</v>
      </c>
      <c r="G46" t="s">
        <v>279</v>
      </c>
      <c r="H46" s="13">
        <v>3</v>
      </c>
      <c r="I46" s="12" t="s">
        <v>51</v>
      </c>
      <c r="J46" s="4" t="s">
        <v>280</v>
      </c>
      <c r="K46" t="s">
        <v>281</v>
      </c>
    </row>
    <row r="47" spans="1:11" ht="15">
      <c r="A47" s="12" t="s">
        <v>282</v>
      </c>
      <c r="B47" t="s">
        <v>28</v>
      </c>
      <c r="C47" t="s">
        <v>283</v>
      </c>
      <c r="D47" t="s">
        <v>284</v>
      </c>
      <c r="E47" s="4" t="s">
        <v>285</v>
      </c>
      <c r="F47" s="12" t="s">
        <v>50</v>
      </c>
      <c r="G47" t="s">
        <v>286</v>
      </c>
      <c r="H47" s="13">
        <v>3</v>
      </c>
      <c r="I47" s="12" t="s">
        <v>51</v>
      </c>
      <c r="J47" s="4" t="s">
        <v>287</v>
      </c>
      <c r="K47" t="s">
        <v>288</v>
      </c>
    </row>
    <row r="48" spans="1:11" ht="15">
      <c r="A48" s="12" t="s">
        <v>289</v>
      </c>
      <c r="B48" t="s">
        <v>28</v>
      </c>
      <c r="C48" t="s">
        <v>283</v>
      </c>
      <c r="D48" t="s">
        <v>290</v>
      </c>
      <c r="E48" s="4" t="s">
        <v>291</v>
      </c>
      <c r="F48" s="12" t="s">
        <v>50</v>
      </c>
      <c r="G48" t="s">
        <v>292</v>
      </c>
      <c r="H48" s="13">
        <v>2</v>
      </c>
      <c r="I48" s="12" t="s">
        <v>51</v>
      </c>
      <c r="J48" s="4" t="s">
        <v>293</v>
      </c>
      <c r="K48" t="s">
        <v>288</v>
      </c>
    </row>
    <row r="49" spans="1:11" ht="15">
      <c r="A49" s="12" t="s">
        <v>294</v>
      </c>
      <c r="B49" t="s">
        <v>28</v>
      </c>
      <c r="C49" t="s">
        <v>171</v>
      </c>
      <c r="D49" t="s">
        <v>295</v>
      </c>
      <c r="E49" s="4" t="s">
        <v>296</v>
      </c>
      <c r="F49" s="12" t="s">
        <v>50</v>
      </c>
      <c r="G49" t="s">
        <v>289</v>
      </c>
      <c r="H49" s="13">
        <v>3</v>
      </c>
      <c r="I49" s="12" t="s">
        <v>51</v>
      </c>
      <c r="J49" s="4" t="s">
        <v>297</v>
      </c>
      <c r="K49" t="s">
        <v>298</v>
      </c>
    </row>
    <row r="50" spans="1:11" ht="15">
      <c r="A50" s="12" t="s">
        <v>299</v>
      </c>
      <c r="B50" t="s">
        <v>29</v>
      </c>
      <c r="C50" t="s">
        <v>300</v>
      </c>
      <c r="D50" t="s">
        <v>301</v>
      </c>
      <c r="E50" s="4" t="s">
        <v>302</v>
      </c>
      <c r="F50" s="12" t="s">
        <v>50</v>
      </c>
      <c r="G50" t="s">
        <v>109</v>
      </c>
      <c r="H50" s="13">
        <v>2</v>
      </c>
      <c r="I50" s="12" t="s">
        <v>74</v>
      </c>
      <c r="J50" s="4" t="s">
        <v>303</v>
      </c>
      <c r="K50" t="s">
        <v>304</v>
      </c>
    </row>
    <row r="51" spans="1:11" ht="15">
      <c r="A51" s="12" t="s">
        <v>305</v>
      </c>
      <c r="B51" t="s">
        <v>29</v>
      </c>
      <c r="C51" t="s">
        <v>177</v>
      </c>
      <c r="D51" t="s">
        <v>306</v>
      </c>
      <c r="E51" s="4" t="s">
        <v>307</v>
      </c>
      <c r="F51" s="12" t="s">
        <v>50</v>
      </c>
      <c r="G51" t="s">
        <v>308</v>
      </c>
      <c r="H51" s="13">
        <v>2</v>
      </c>
      <c r="I51" s="12" t="s">
        <v>74</v>
      </c>
      <c r="J51" s="4" t="s">
        <v>309</v>
      </c>
      <c r="K51" t="s">
        <v>310</v>
      </c>
    </row>
    <row r="52" spans="1:11" ht="15">
      <c r="A52" s="12" t="s">
        <v>311</v>
      </c>
      <c r="B52" t="s">
        <v>29</v>
      </c>
      <c r="C52" t="s">
        <v>177</v>
      </c>
      <c r="D52" t="s">
        <v>312</v>
      </c>
      <c r="E52" s="4" t="s">
        <v>313</v>
      </c>
      <c r="F52" s="12" t="s">
        <v>50</v>
      </c>
      <c r="G52" t="s">
        <v>305</v>
      </c>
      <c r="H52" s="13">
        <v>2</v>
      </c>
      <c r="I52" s="12" t="s">
        <v>74</v>
      </c>
      <c r="J52" s="4" t="s">
        <v>314</v>
      </c>
      <c r="K52" t="s">
        <v>315</v>
      </c>
    </row>
    <row r="53" spans="1:11" ht="15">
      <c r="A53" s="12" t="s">
        <v>316</v>
      </c>
      <c r="B53" t="s">
        <v>29</v>
      </c>
      <c r="C53" t="s">
        <v>177</v>
      </c>
      <c r="D53" t="s">
        <v>317</v>
      </c>
      <c r="E53" s="4" t="s">
        <v>318</v>
      </c>
      <c r="F53" s="12" t="s">
        <v>50</v>
      </c>
      <c r="G53" t="s">
        <v>319</v>
      </c>
      <c r="H53" s="13">
        <v>3</v>
      </c>
      <c r="I53" s="12" t="s">
        <v>74</v>
      </c>
      <c r="J53" s="4" t="s">
        <v>320</v>
      </c>
      <c r="K53" t="s">
        <v>321</v>
      </c>
    </row>
    <row r="54" spans="1:11" ht="15">
      <c r="A54" s="12" t="s">
        <v>322</v>
      </c>
      <c r="B54" t="s">
        <v>29</v>
      </c>
      <c r="C54" t="s">
        <v>323</v>
      </c>
      <c r="D54" t="s">
        <v>324</v>
      </c>
      <c r="E54" s="4" t="s">
        <v>325</v>
      </c>
      <c r="F54" s="12" t="s">
        <v>50</v>
      </c>
      <c r="G54" t="s">
        <v>326</v>
      </c>
      <c r="H54" s="13">
        <v>4</v>
      </c>
      <c r="I54" s="12" t="s">
        <v>74</v>
      </c>
      <c r="J54" s="4" t="s">
        <v>327</v>
      </c>
      <c r="K54" t="s">
        <v>328</v>
      </c>
    </row>
    <row r="55" spans="1:11" ht="15">
      <c r="A55" s="12" t="s">
        <v>329</v>
      </c>
      <c r="B55" t="s">
        <v>29</v>
      </c>
      <c r="C55" t="s">
        <v>171</v>
      </c>
      <c r="D55" t="s">
        <v>330</v>
      </c>
      <c r="E55" s="4" t="s">
        <v>331</v>
      </c>
      <c r="F55" s="12" t="s">
        <v>50</v>
      </c>
      <c r="G55" t="s">
        <v>316</v>
      </c>
      <c r="H55" s="13">
        <v>2</v>
      </c>
      <c r="I55" s="12" t="s">
        <v>74</v>
      </c>
      <c r="J55" s="4" t="s">
        <v>332</v>
      </c>
      <c r="K55" t="s">
        <v>333</v>
      </c>
    </row>
    <row r="56" spans="1:11" ht="15">
      <c r="A56" s="12" t="s">
        <v>334</v>
      </c>
      <c r="B56" t="s">
        <v>30</v>
      </c>
      <c r="C56" t="s">
        <v>335</v>
      </c>
      <c r="D56" t="s">
        <v>336</v>
      </c>
      <c r="E56" s="4" t="s">
        <v>337</v>
      </c>
      <c r="F56" s="12" t="s">
        <v>50</v>
      </c>
      <c r="G56" t="s">
        <v>64</v>
      </c>
      <c r="H56" s="13">
        <v>3</v>
      </c>
      <c r="I56" s="12" t="s">
        <v>74</v>
      </c>
      <c r="J56" s="4" t="s">
        <v>338</v>
      </c>
      <c r="K56" t="s">
        <v>339</v>
      </c>
    </row>
    <row r="57" spans="1:11" ht="15">
      <c r="A57" s="12" t="s">
        <v>340</v>
      </c>
      <c r="B57" t="s">
        <v>30</v>
      </c>
      <c r="C57" t="s">
        <v>300</v>
      </c>
      <c r="D57" t="s">
        <v>341</v>
      </c>
      <c r="E57" s="4" t="s">
        <v>342</v>
      </c>
      <c r="F57" s="12" t="s">
        <v>50</v>
      </c>
      <c r="G57" t="s">
        <v>109</v>
      </c>
      <c r="H57" s="13">
        <v>2</v>
      </c>
      <c r="I57" s="12" t="s">
        <v>74</v>
      </c>
      <c r="J57" s="4" t="s">
        <v>343</v>
      </c>
      <c r="K57" t="s">
        <v>304</v>
      </c>
    </row>
    <row r="58" spans="1:11" ht="15">
      <c r="A58" s="12" t="s">
        <v>344</v>
      </c>
      <c r="B58" t="s">
        <v>30</v>
      </c>
      <c r="C58" t="s">
        <v>177</v>
      </c>
      <c r="D58" t="s">
        <v>345</v>
      </c>
      <c r="E58" s="4" t="s">
        <v>346</v>
      </c>
      <c r="F58" s="12" t="s">
        <v>50</v>
      </c>
      <c r="G58" t="s">
        <v>347</v>
      </c>
      <c r="H58" s="13">
        <v>4</v>
      </c>
      <c r="I58" s="12" t="s">
        <v>74</v>
      </c>
      <c r="J58" s="4" t="s">
        <v>348</v>
      </c>
      <c r="K58" t="s">
        <v>349</v>
      </c>
    </row>
    <row r="59" spans="1:11" ht="15">
      <c r="A59" s="12" t="s">
        <v>350</v>
      </c>
      <c r="B59" t="s">
        <v>30</v>
      </c>
      <c r="C59" t="s">
        <v>177</v>
      </c>
      <c r="D59" t="s">
        <v>351</v>
      </c>
      <c r="E59" s="4" t="s">
        <v>352</v>
      </c>
      <c r="F59" s="12" t="s">
        <v>50</v>
      </c>
      <c r="G59" t="s">
        <v>344</v>
      </c>
      <c r="H59" s="13">
        <v>3</v>
      </c>
      <c r="I59" s="12" t="s">
        <v>74</v>
      </c>
      <c r="J59" s="4" t="s">
        <v>353</v>
      </c>
      <c r="K59" t="s">
        <v>354</v>
      </c>
    </row>
    <row r="60" spans="1:11" ht="15">
      <c r="A60" s="12" t="s">
        <v>355</v>
      </c>
      <c r="B60" t="s">
        <v>30</v>
      </c>
      <c r="C60" t="s">
        <v>177</v>
      </c>
      <c r="D60" t="s">
        <v>356</v>
      </c>
      <c r="E60" s="4" t="s">
        <v>357</v>
      </c>
      <c r="F60" s="12" t="s">
        <v>50</v>
      </c>
      <c r="G60" t="s">
        <v>358</v>
      </c>
      <c r="H60" s="13">
        <v>2</v>
      </c>
      <c r="I60" s="12" t="s">
        <v>74</v>
      </c>
      <c r="J60" s="4" t="s">
        <v>359</v>
      </c>
      <c r="K60" t="s">
        <v>201</v>
      </c>
    </row>
    <row r="61" spans="1:11" ht="15">
      <c r="A61" s="12" t="s">
        <v>360</v>
      </c>
      <c r="B61" t="s">
        <v>30</v>
      </c>
      <c r="C61" t="s">
        <v>361</v>
      </c>
      <c r="D61" t="s">
        <v>362</v>
      </c>
      <c r="E61" s="4" t="s">
        <v>363</v>
      </c>
      <c r="F61" s="12" t="s">
        <v>50</v>
      </c>
      <c r="G61" t="s">
        <v>344</v>
      </c>
      <c r="H61" s="13">
        <v>2</v>
      </c>
      <c r="I61" s="12" t="s">
        <v>74</v>
      </c>
      <c r="J61" s="4" t="s">
        <v>364</v>
      </c>
      <c r="K61" t="s">
        <v>365</v>
      </c>
    </row>
    <row r="62" spans="1:11" ht="15">
      <c r="A62" s="12" t="s">
        <v>366</v>
      </c>
      <c r="B62" t="s">
        <v>30</v>
      </c>
      <c r="C62" t="s">
        <v>323</v>
      </c>
      <c r="D62" t="s">
        <v>367</v>
      </c>
      <c r="E62" s="4" t="s">
        <v>368</v>
      </c>
      <c r="F62" s="12" t="s">
        <v>50</v>
      </c>
      <c r="G62" t="s">
        <v>369</v>
      </c>
      <c r="H62" s="13">
        <v>4</v>
      </c>
      <c r="I62" s="12" t="s">
        <v>74</v>
      </c>
      <c r="J62" s="4" t="s">
        <v>370</v>
      </c>
      <c r="K62" t="s">
        <v>328</v>
      </c>
    </row>
    <row r="63" spans="1:11" ht="15">
      <c r="A63" s="12" t="s">
        <v>371</v>
      </c>
      <c r="B63" t="s">
        <v>30</v>
      </c>
      <c r="C63" t="s">
        <v>171</v>
      </c>
      <c r="D63" t="s">
        <v>372</v>
      </c>
      <c r="E63" s="4" t="s">
        <v>373</v>
      </c>
      <c r="F63" s="12" t="s">
        <v>50</v>
      </c>
      <c r="G63" t="s">
        <v>360</v>
      </c>
      <c r="H63" s="13">
        <v>2</v>
      </c>
      <c r="I63" s="12" t="s">
        <v>74</v>
      </c>
      <c r="J63" s="4" t="s">
        <v>374</v>
      </c>
      <c r="K63" t="s">
        <v>375</v>
      </c>
    </row>
    <row r="64" spans="1:11" ht="15">
      <c r="A64" s="12" t="s">
        <v>376</v>
      </c>
      <c r="B64" t="s">
        <v>31</v>
      </c>
      <c r="C64" t="s">
        <v>300</v>
      </c>
      <c r="D64" t="s">
        <v>377</v>
      </c>
      <c r="E64" s="4" t="s">
        <v>378</v>
      </c>
      <c r="F64" s="12" t="s">
        <v>50</v>
      </c>
      <c r="G64" t="s">
        <v>379</v>
      </c>
      <c r="H64" s="13">
        <v>3</v>
      </c>
      <c r="I64" s="12" t="s">
        <v>129</v>
      </c>
      <c r="J64" s="4" t="s">
        <v>380</v>
      </c>
      <c r="K64" t="s">
        <v>304</v>
      </c>
    </row>
    <row r="65" spans="1:11" ht="15">
      <c r="A65" s="12" t="s">
        <v>381</v>
      </c>
      <c r="B65" t="s">
        <v>31</v>
      </c>
      <c r="C65" t="s">
        <v>177</v>
      </c>
      <c r="D65" t="s">
        <v>382</v>
      </c>
      <c r="E65" s="4" t="s">
        <v>383</v>
      </c>
      <c r="F65" s="12" t="s">
        <v>50</v>
      </c>
      <c r="G65" t="s">
        <v>384</v>
      </c>
      <c r="H65" s="13">
        <v>3</v>
      </c>
      <c r="I65" s="12" t="s">
        <v>129</v>
      </c>
      <c r="J65" s="4" t="s">
        <v>385</v>
      </c>
      <c r="K65" t="s">
        <v>354</v>
      </c>
    </row>
    <row r="66" spans="1:11" ht="15">
      <c r="A66" s="12" t="s">
        <v>386</v>
      </c>
      <c r="B66" t="s">
        <v>31</v>
      </c>
      <c r="C66" t="s">
        <v>177</v>
      </c>
      <c r="D66" t="s">
        <v>387</v>
      </c>
      <c r="E66" s="4" t="s">
        <v>388</v>
      </c>
      <c r="F66" s="12" t="s">
        <v>50</v>
      </c>
      <c r="G66" t="s">
        <v>381</v>
      </c>
      <c r="H66" s="13">
        <v>2</v>
      </c>
      <c r="I66" s="12" t="s">
        <v>129</v>
      </c>
      <c r="J66" s="4" t="s">
        <v>389</v>
      </c>
      <c r="K66" t="s">
        <v>244</v>
      </c>
    </row>
    <row r="67" spans="1:11" ht="15">
      <c r="A67" s="12" t="s">
        <v>390</v>
      </c>
      <c r="B67" t="s">
        <v>31</v>
      </c>
      <c r="C67" t="s">
        <v>177</v>
      </c>
      <c r="D67" t="s">
        <v>391</v>
      </c>
      <c r="E67" s="4" t="s">
        <v>392</v>
      </c>
      <c r="F67" s="12" t="s">
        <v>50</v>
      </c>
      <c r="G67" t="s">
        <v>393</v>
      </c>
      <c r="H67" s="13">
        <v>4</v>
      </c>
      <c r="I67" s="12" t="s">
        <v>129</v>
      </c>
      <c r="J67" s="4" t="s">
        <v>394</v>
      </c>
      <c r="K67" t="s">
        <v>395</v>
      </c>
    </row>
    <row r="68" spans="1:11" ht="15">
      <c r="A68" s="12" t="s">
        <v>396</v>
      </c>
      <c r="B68" t="s">
        <v>31</v>
      </c>
      <c r="C68" t="s">
        <v>323</v>
      </c>
      <c r="D68" t="s">
        <v>397</v>
      </c>
      <c r="E68" s="4" t="s">
        <v>398</v>
      </c>
      <c r="F68" s="12" t="s">
        <v>50</v>
      </c>
      <c r="G68" t="s">
        <v>399</v>
      </c>
      <c r="H68" s="13">
        <v>4</v>
      </c>
      <c r="I68" s="12" t="s">
        <v>129</v>
      </c>
      <c r="J68" s="4" t="s">
        <v>400</v>
      </c>
      <c r="K68" t="s">
        <v>328</v>
      </c>
    </row>
    <row r="69" spans="1:11" ht="15">
      <c r="A69" s="12" t="s">
        <v>401</v>
      </c>
      <c r="B69" t="s">
        <v>32</v>
      </c>
      <c r="C69" t="s">
        <v>402</v>
      </c>
      <c r="D69" t="s">
        <v>403</v>
      </c>
      <c r="E69" s="4" t="s">
        <v>404</v>
      </c>
      <c r="F69" s="12" t="s">
        <v>50</v>
      </c>
      <c r="G69" t="s">
        <v>405</v>
      </c>
      <c r="H69" s="13">
        <v>3</v>
      </c>
      <c r="I69" s="12" t="s">
        <v>51</v>
      </c>
      <c r="J69" s="4" t="s">
        <v>406</v>
      </c>
      <c r="K69" t="s">
        <v>407</v>
      </c>
    </row>
    <row r="70" spans="1:11" ht="15">
      <c r="A70" s="12" t="s">
        <v>408</v>
      </c>
      <c r="B70" t="s">
        <v>32</v>
      </c>
      <c r="C70" t="s">
        <v>402</v>
      </c>
      <c r="D70" t="s">
        <v>409</v>
      </c>
      <c r="E70" s="4" t="s">
        <v>410</v>
      </c>
      <c r="F70" s="12" t="s">
        <v>50</v>
      </c>
      <c r="G70" t="s">
        <v>401</v>
      </c>
      <c r="H70" s="13">
        <v>2</v>
      </c>
      <c r="I70" s="12" t="s">
        <v>51</v>
      </c>
      <c r="J70" s="4" t="s">
        <v>411</v>
      </c>
      <c r="K70" t="s">
        <v>412</v>
      </c>
    </row>
    <row r="71" spans="1:11" ht="15">
      <c r="A71" s="12" t="s">
        <v>413</v>
      </c>
      <c r="B71" t="s">
        <v>32</v>
      </c>
      <c r="C71" t="s">
        <v>402</v>
      </c>
      <c r="D71" t="s">
        <v>414</v>
      </c>
      <c r="E71" s="4" t="s">
        <v>415</v>
      </c>
      <c r="F71" s="12" t="s">
        <v>50</v>
      </c>
      <c r="G71" t="s">
        <v>401</v>
      </c>
      <c r="H71" s="13">
        <v>2</v>
      </c>
      <c r="I71" s="12" t="s">
        <v>51</v>
      </c>
      <c r="J71" s="4" t="s">
        <v>416</v>
      </c>
      <c r="K71" t="s">
        <v>417</v>
      </c>
    </row>
    <row r="72" spans="1:11" ht="15">
      <c r="A72" s="12" t="s">
        <v>418</v>
      </c>
      <c r="B72" t="s">
        <v>32</v>
      </c>
      <c r="C72" t="s">
        <v>419</v>
      </c>
      <c r="D72" t="s">
        <v>420</v>
      </c>
      <c r="E72" s="4" t="s">
        <v>421</v>
      </c>
      <c r="F72" s="12" t="s">
        <v>50</v>
      </c>
      <c r="G72" t="s">
        <v>413</v>
      </c>
      <c r="H72" s="13">
        <v>3</v>
      </c>
      <c r="I72" s="12" t="s">
        <v>51</v>
      </c>
      <c r="J72" s="4" t="s">
        <v>422</v>
      </c>
      <c r="K72" t="s">
        <v>423</v>
      </c>
    </row>
    <row r="73" spans="1:11" ht="15">
      <c r="A73" s="12" t="s">
        <v>424</v>
      </c>
      <c r="B73" t="s">
        <v>32</v>
      </c>
      <c r="C73" t="s">
        <v>419</v>
      </c>
      <c r="D73" t="s">
        <v>425</v>
      </c>
      <c r="E73" s="4" t="s">
        <v>426</v>
      </c>
      <c r="F73" s="12" t="s">
        <v>50</v>
      </c>
      <c r="G73" t="s">
        <v>418</v>
      </c>
      <c r="H73" s="13">
        <v>2</v>
      </c>
      <c r="I73" s="12" t="s">
        <v>74</v>
      </c>
      <c r="J73" s="4" t="s">
        <v>427</v>
      </c>
      <c r="K73" t="s">
        <v>428</v>
      </c>
    </row>
    <row r="74" spans="1:11" ht="15">
      <c r="A74" s="12" t="s">
        <v>429</v>
      </c>
      <c r="B74" t="s">
        <v>32</v>
      </c>
      <c r="C74" t="s">
        <v>430</v>
      </c>
      <c r="D74" t="s">
        <v>431</v>
      </c>
      <c r="E74" s="4" t="s">
        <v>432</v>
      </c>
      <c r="F74" s="12" t="s">
        <v>50</v>
      </c>
      <c r="G74" t="s">
        <v>182</v>
      </c>
      <c r="H74" s="13">
        <v>3</v>
      </c>
      <c r="I74" s="12" t="s">
        <v>74</v>
      </c>
      <c r="J74" s="4" t="s">
        <v>433</v>
      </c>
      <c r="K74" t="s">
        <v>434</v>
      </c>
    </row>
    <row r="75" spans="1:11" ht="15">
      <c r="A75" s="12" t="s">
        <v>435</v>
      </c>
      <c r="B75" t="s">
        <v>32</v>
      </c>
      <c r="C75" t="s">
        <v>430</v>
      </c>
      <c r="D75" t="s">
        <v>436</v>
      </c>
      <c r="E75" s="4" t="s">
        <v>437</v>
      </c>
      <c r="F75" s="12" t="s">
        <v>50</v>
      </c>
      <c r="G75" t="s">
        <v>109</v>
      </c>
      <c r="H75" s="13">
        <v>2</v>
      </c>
      <c r="I75" s="12" t="s">
        <v>129</v>
      </c>
      <c r="J75" s="4" t="s">
        <v>438</v>
      </c>
      <c r="K75" t="s">
        <v>439</v>
      </c>
    </row>
    <row r="76" spans="1:11" ht="15">
      <c r="A76" s="12" t="s">
        <v>440</v>
      </c>
      <c r="B76" t="s">
        <v>32</v>
      </c>
      <c r="C76" t="s">
        <v>441</v>
      </c>
      <c r="D76" t="s">
        <v>442</v>
      </c>
      <c r="E76" s="4" t="s">
        <v>443</v>
      </c>
      <c r="F76" s="12" t="s">
        <v>50</v>
      </c>
      <c r="G76" t="s">
        <v>418</v>
      </c>
      <c r="H76" s="13">
        <v>2</v>
      </c>
      <c r="I76" s="12" t="s">
        <v>51</v>
      </c>
      <c r="J76" s="4" t="s">
        <v>444</v>
      </c>
      <c r="K76" t="s">
        <v>445</v>
      </c>
    </row>
    <row r="77" spans="1:11" ht="15">
      <c r="A77" s="12" t="s">
        <v>446</v>
      </c>
      <c r="B77" t="s">
        <v>32</v>
      </c>
      <c r="C77" t="s">
        <v>270</v>
      </c>
      <c r="D77" t="s">
        <v>447</v>
      </c>
      <c r="E77" s="4" t="s">
        <v>448</v>
      </c>
      <c r="F77" s="12" t="s">
        <v>50</v>
      </c>
      <c r="G77" t="s">
        <v>440</v>
      </c>
      <c r="H77" s="13">
        <v>3</v>
      </c>
      <c r="I77" s="12" t="s">
        <v>74</v>
      </c>
      <c r="J77" s="4" t="s">
        <v>449</v>
      </c>
      <c r="K77" t="s">
        <v>450</v>
      </c>
    </row>
    <row r="78" spans="1:11" ht="15">
      <c r="A78" s="12" t="s">
        <v>451</v>
      </c>
      <c r="B78" t="s">
        <v>33</v>
      </c>
      <c r="C78" t="s">
        <v>452</v>
      </c>
      <c r="D78" t="s">
        <v>453</v>
      </c>
      <c r="E78" s="4" t="s">
        <v>454</v>
      </c>
      <c r="F78" s="12" t="s">
        <v>50</v>
      </c>
      <c r="G78" t="s">
        <v>109</v>
      </c>
      <c r="H78" s="13">
        <v>3</v>
      </c>
      <c r="I78" s="12" t="s">
        <v>74</v>
      </c>
      <c r="J78" s="4" t="s">
        <v>455</v>
      </c>
      <c r="K78" t="s">
        <v>456</v>
      </c>
    </row>
    <row r="79" spans="1:11" ht="15">
      <c r="A79" s="12" t="s">
        <v>457</v>
      </c>
      <c r="B79" t="s">
        <v>33</v>
      </c>
      <c r="C79" t="s">
        <v>452</v>
      </c>
      <c r="D79" t="s">
        <v>458</v>
      </c>
      <c r="E79" s="4" t="s">
        <v>459</v>
      </c>
      <c r="F79" s="12" t="s">
        <v>50</v>
      </c>
      <c r="G79" t="s">
        <v>451</v>
      </c>
      <c r="H79" s="13">
        <v>3</v>
      </c>
      <c r="I79" s="12" t="s">
        <v>74</v>
      </c>
      <c r="J79" s="4" t="s">
        <v>460</v>
      </c>
      <c r="K79" t="s">
        <v>461</v>
      </c>
    </row>
    <row r="80" spans="1:11" ht="15">
      <c r="A80" s="12" t="s">
        <v>462</v>
      </c>
      <c r="B80" t="s">
        <v>33</v>
      </c>
      <c r="C80" t="s">
        <v>452</v>
      </c>
      <c r="D80" t="s">
        <v>463</v>
      </c>
      <c r="E80" s="4" t="s">
        <v>464</v>
      </c>
      <c r="F80" s="12" t="s">
        <v>50</v>
      </c>
      <c r="G80" t="s">
        <v>269</v>
      </c>
      <c r="H80" s="13">
        <v>3</v>
      </c>
      <c r="I80" s="12" t="s">
        <v>129</v>
      </c>
      <c r="J80" s="4" t="s">
        <v>465</v>
      </c>
      <c r="K80" t="s">
        <v>466</v>
      </c>
    </row>
    <row r="81" spans="1:11" ht="15">
      <c r="A81" s="12" t="s">
        <v>467</v>
      </c>
      <c r="B81" t="s">
        <v>33</v>
      </c>
      <c r="C81" t="s">
        <v>468</v>
      </c>
      <c r="D81" t="s">
        <v>469</v>
      </c>
      <c r="E81" s="4" t="s">
        <v>470</v>
      </c>
      <c r="F81" s="12" t="s">
        <v>50</v>
      </c>
      <c r="G81" t="s">
        <v>457</v>
      </c>
      <c r="H81" s="13">
        <v>3</v>
      </c>
      <c r="I81" s="12" t="s">
        <v>74</v>
      </c>
      <c r="J81" s="4" t="s">
        <v>471</v>
      </c>
      <c r="K81" t="s">
        <v>472</v>
      </c>
    </row>
    <row r="82" spans="1:11" ht="15">
      <c r="A82" s="12" t="s">
        <v>473</v>
      </c>
      <c r="B82" t="s">
        <v>33</v>
      </c>
      <c r="C82" t="s">
        <v>474</v>
      </c>
      <c r="D82" t="s">
        <v>475</v>
      </c>
      <c r="E82" s="4" t="s">
        <v>476</v>
      </c>
      <c r="F82" s="12" t="s">
        <v>50</v>
      </c>
      <c r="G82" t="s">
        <v>477</v>
      </c>
      <c r="H82" s="13">
        <v>3</v>
      </c>
      <c r="I82" s="12" t="s">
        <v>51</v>
      </c>
      <c r="J82" s="4" t="s">
        <v>478</v>
      </c>
      <c r="K82" t="s">
        <v>479</v>
      </c>
    </row>
    <row r="83" spans="1:11" ht="15">
      <c r="A83" s="12" t="s">
        <v>480</v>
      </c>
      <c r="B83" t="s">
        <v>33</v>
      </c>
      <c r="C83" t="s">
        <v>474</v>
      </c>
      <c r="D83" t="s">
        <v>481</v>
      </c>
      <c r="E83" s="4" t="s">
        <v>482</v>
      </c>
      <c r="F83" s="12" t="s">
        <v>50</v>
      </c>
      <c r="G83" t="s">
        <v>457</v>
      </c>
      <c r="H83" s="13">
        <v>2</v>
      </c>
      <c r="I83" s="12" t="s">
        <v>51</v>
      </c>
      <c r="J83" s="4" t="s">
        <v>483</v>
      </c>
      <c r="K83" t="s">
        <v>484</v>
      </c>
    </row>
    <row r="84" spans="1:11" ht="15">
      <c r="A84" s="12" t="s">
        <v>485</v>
      </c>
      <c r="B84" t="s">
        <v>33</v>
      </c>
      <c r="C84" t="s">
        <v>474</v>
      </c>
      <c r="D84" t="s">
        <v>486</v>
      </c>
      <c r="E84" s="4" t="s">
        <v>487</v>
      </c>
      <c r="F84" s="12" t="s">
        <v>50</v>
      </c>
      <c r="G84" t="s">
        <v>473</v>
      </c>
      <c r="H84" s="13">
        <v>2</v>
      </c>
      <c r="I84" s="12" t="s">
        <v>129</v>
      </c>
      <c r="J84" s="4" t="s">
        <v>488</v>
      </c>
      <c r="K84" t="s">
        <v>489</v>
      </c>
    </row>
    <row r="85" spans="1:11" ht="15">
      <c r="A85" s="12" t="s">
        <v>490</v>
      </c>
      <c r="B85" t="s">
        <v>34</v>
      </c>
      <c r="C85" t="s">
        <v>171</v>
      </c>
      <c r="D85" t="s">
        <v>491</v>
      </c>
      <c r="E85" s="4" t="s">
        <v>492</v>
      </c>
      <c r="F85" s="12" t="s">
        <v>50</v>
      </c>
      <c r="G85" t="s">
        <v>473</v>
      </c>
      <c r="H85" s="13">
        <v>4</v>
      </c>
      <c r="I85" s="12" t="s">
        <v>51</v>
      </c>
      <c r="J85" s="4" t="s">
        <v>493</v>
      </c>
      <c r="K85" t="s">
        <v>494</v>
      </c>
    </row>
    <row r="86" spans="1:11" ht="15">
      <c r="A86" s="12" t="s">
        <v>495</v>
      </c>
      <c r="B86" t="s">
        <v>34</v>
      </c>
      <c r="C86" t="s">
        <v>171</v>
      </c>
      <c r="D86" t="s">
        <v>496</v>
      </c>
      <c r="E86" s="4" t="s">
        <v>497</v>
      </c>
      <c r="F86" s="12" t="s">
        <v>50</v>
      </c>
      <c r="G86" t="s">
        <v>490</v>
      </c>
      <c r="H86" s="13">
        <v>3</v>
      </c>
      <c r="I86" s="12" t="s">
        <v>51</v>
      </c>
      <c r="J86" s="4" t="s">
        <v>498</v>
      </c>
      <c r="K86" t="s">
        <v>499</v>
      </c>
    </row>
    <row r="87" spans="1:11" ht="15">
      <c r="A87" s="12" t="s">
        <v>500</v>
      </c>
      <c r="B87" t="s">
        <v>34</v>
      </c>
      <c r="C87" t="s">
        <v>501</v>
      </c>
      <c r="D87" t="s">
        <v>502</v>
      </c>
      <c r="E87" s="4" t="s">
        <v>503</v>
      </c>
      <c r="F87" s="12" t="s">
        <v>50</v>
      </c>
      <c r="G87" t="s">
        <v>490</v>
      </c>
      <c r="H87" s="13">
        <v>3</v>
      </c>
      <c r="I87" s="12" t="s">
        <v>51</v>
      </c>
      <c r="J87" s="4" t="s">
        <v>504</v>
      </c>
      <c r="K87" t="s">
        <v>505</v>
      </c>
    </row>
    <row r="88" spans="1:11" ht="15">
      <c r="A88" s="12" t="s">
        <v>506</v>
      </c>
      <c r="B88" t="s">
        <v>34</v>
      </c>
      <c r="C88" t="s">
        <v>501</v>
      </c>
      <c r="D88" t="s">
        <v>507</v>
      </c>
      <c r="E88" s="4" t="s">
        <v>508</v>
      </c>
      <c r="F88" s="12" t="s">
        <v>50</v>
      </c>
      <c r="G88" t="s">
        <v>490</v>
      </c>
      <c r="H88" s="13">
        <v>2</v>
      </c>
      <c r="I88" s="12" t="s">
        <v>74</v>
      </c>
      <c r="J88" s="4" t="s">
        <v>509</v>
      </c>
      <c r="K88" t="s">
        <v>510</v>
      </c>
    </row>
    <row r="89" spans="1:11" ht="15">
      <c r="A89" s="12" t="s">
        <v>511</v>
      </c>
      <c r="B89" t="s">
        <v>34</v>
      </c>
      <c r="C89" t="s">
        <v>512</v>
      </c>
      <c r="D89" t="s">
        <v>513</v>
      </c>
      <c r="E89" s="4" t="s">
        <v>514</v>
      </c>
      <c r="F89" s="12" t="s">
        <v>50</v>
      </c>
      <c r="G89" t="s">
        <v>490</v>
      </c>
      <c r="H89" s="13">
        <v>2</v>
      </c>
      <c r="I89" s="12" t="s">
        <v>74</v>
      </c>
      <c r="J89" s="4" t="s">
        <v>515</v>
      </c>
      <c r="K89" t="s">
        <v>516</v>
      </c>
    </row>
    <row r="90" spans="1:11" ht="15">
      <c r="A90" s="12" t="s">
        <v>517</v>
      </c>
      <c r="B90" t="s">
        <v>34</v>
      </c>
      <c r="C90" t="s">
        <v>512</v>
      </c>
      <c r="D90" t="s">
        <v>518</v>
      </c>
      <c r="E90" s="4" t="s">
        <v>519</v>
      </c>
      <c r="F90" s="12" t="s">
        <v>50</v>
      </c>
      <c r="G90" t="s">
        <v>500</v>
      </c>
      <c r="H90" s="13">
        <v>2</v>
      </c>
      <c r="I90" s="12" t="s">
        <v>74</v>
      </c>
      <c r="J90" s="4" t="s">
        <v>520</v>
      </c>
      <c r="K90" t="s">
        <v>521</v>
      </c>
    </row>
  </sheetData>
  <phoneticPr fontId="5"/>
  <conditionalFormatting sqref="F5:F90">
    <cfRule type="expression" dxfId="4" priority="1" stopIfTrue="1">
      <formula>F5="完了"</formula>
    </cfRule>
    <cfRule type="expression" dxfId="3" priority="2" stopIfTrue="1">
      <formula>F5="進行中"</formula>
    </cfRule>
    <cfRule type="expression" dxfId="2" priority="3" stopIfTrue="1">
      <formula>F5="保留"</formula>
    </cfRule>
  </conditionalFormatting>
  <conditionalFormatting sqref="I5:I90">
    <cfRule type="expression" dxfId="1" priority="4" stopIfTrue="1">
      <formula>I5="High"</formula>
    </cfRule>
    <cfRule type="expression" dxfId="0" priority="5" stopIfTrue="1">
      <formula>I5="Med"</formula>
    </cfRule>
  </conditionalFormatting>
  <dataValidations count="2">
    <dataValidation type="list" sqref="F5:F90" xr:uid="{00000000-0002-0000-0200-000000000000}">
      <formula1>"未着手,進行中,完了,保留"</formula1>
    </dataValidation>
    <dataValidation type="list" sqref="I5:I90" xr:uid="{00000000-0002-0000-0200-000001000000}">
      <formula1>"High,Med,Low"</formula1>
    </dataValidation>
  </dataValidations>
  <pageMargins left="0.75" right="0.75" top="1" bottom="1" header="0.5" footer="0.5"/>
  <pageSetup paperSize="9" orientation="portrait" horizontalDpi="0" verticalDpi="0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"/>
  <sheetViews>
    <sheetView showGridLines="0" workbookViewId="0">
      <pane ySplit="4" topLeftCell="A5" activePane="bottomLeft" state="frozen"/>
      <selection pane="bottomLeft"/>
    </sheetView>
  </sheetViews>
  <sheetFormatPr baseColWidth="10" defaultColWidth="8.83203125" defaultRowHeight="14"/>
  <cols>
    <col min="1" max="1" width="8" customWidth="1"/>
    <col min="2" max="2" width="14" customWidth="1"/>
    <col min="3" max="3" width="18" customWidth="1"/>
    <col min="4" max="4" width="48" customWidth="1"/>
    <col min="5" max="7" width="10" customWidth="1"/>
    <col min="9" max="9" width="28" customWidth="1"/>
  </cols>
  <sheetData>
    <row r="1" spans="1:9" ht="24" customHeight="1">
      <c r="A1" s="1" t="s">
        <v>522</v>
      </c>
    </row>
    <row r="2" spans="1:9" ht="20" customHeight="1">
      <c r="A2" s="2" t="s">
        <v>523</v>
      </c>
      <c r="I2" s="3" t="s">
        <v>2</v>
      </c>
    </row>
    <row r="3" spans="1:9" ht="45">
      <c r="I3" s="4" t="s">
        <v>524</v>
      </c>
    </row>
    <row r="4" spans="1:9" ht="22" customHeight="1">
      <c r="A4" s="5" t="s">
        <v>525</v>
      </c>
      <c r="B4" s="5" t="s">
        <v>526</v>
      </c>
      <c r="C4" s="5" t="s">
        <v>39</v>
      </c>
      <c r="D4" s="5" t="s">
        <v>527</v>
      </c>
      <c r="E4" s="5" t="s">
        <v>43</v>
      </c>
      <c r="F4" s="5" t="s">
        <v>44</v>
      </c>
      <c r="G4" s="5" t="s">
        <v>528</v>
      </c>
    </row>
    <row r="5" spans="1:9" ht="22" customHeight="1">
      <c r="A5" s="6" t="s">
        <v>529</v>
      </c>
      <c r="B5" s="6" t="s">
        <v>530</v>
      </c>
      <c r="C5" s="6" t="s">
        <v>531</v>
      </c>
      <c r="D5" s="14" t="s">
        <v>532</v>
      </c>
      <c r="E5" s="15">
        <v>1</v>
      </c>
      <c r="F5" s="15" t="s">
        <v>51</v>
      </c>
      <c r="G5" s="6" t="s">
        <v>132</v>
      </c>
    </row>
    <row r="6" spans="1:9" ht="22" customHeight="1">
      <c r="A6" s="6" t="s">
        <v>533</v>
      </c>
      <c r="B6" s="6" t="s">
        <v>530</v>
      </c>
      <c r="C6" s="6" t="s">
        <v>534</v>
      </c>
      <c r="D6" s="14" t="s">
        <v>535</v>
      </c>
      <c r="E6" s="15">
        <v>1</v>
      </c>
      <c r="F6" s="15" t="s">
        <v>51</v>
      </c>
      <c r="G6" s="6" t="s">
        <v>138</v>
      </c>
    </row>
    <row r="7" spans="1:9" ht="22" customHeight="1">
      <c r="A7" s="6" t="s">
        <v>536</v>
      </c>
      <c r="B7" s="6" t="s">
        <v>530</v>
      </c>
      <c r="C7" s="6" t="s">
        <v>537</v>
      </c>
      <c r="D7" s="14" t="s">
        <v>538</v>
      </c>
      <c r="E7" s="15">
        <v>3</v>
      </c>
      <c r="F7" s="15" t="s">
        <v>51</v>
      </c>
      <c r="G7" s="6" t="s">
        <v>138</v>
      </c>
    </row>
    <row r="8" spans="1:9" ht="22" customHeight="1">
      <c r="A8" s="6" t="s">
        <v>539</v>
      </c>
      <c r="B8" s="6" t="s">
        <v>530</v>
      </c>
      <c r="C8" s="6" t="s">
        <v>540</v>
      </c>
      <c r="D8" s="14" t="s">
        <v>541</v>
      </c>
      <c r="E8" s="15">
        <v>3</v>
      </c>
      <c r="F8" s="15" t="s">
        <v>51</v>
      </c>
      <c r="G8" s="6" t="s">
        <v>143</v>
      </c>
    </row>
    <row r="9" spans="1:9" ht="22" customHeight="1">
      <c r="A9" s="6" t="s">
        <v>542</v>
      </c>
      <c r="B9" s="6" t="s">
        <v>543</v>
      </c>
      <c r="C9" s="6" t="s">
        <v>544</v>
      </c>
      <c r="D9" s="14" t="s">
        <v>545</v>
      </c>
      <c r="E9" s="15">
        <v>2</v>
      </c>
      <c r="F9" s="15" t="s">
        <v>51</v>
      </c>
      <c r="G9" s="6" t="s">
        <v>148</v>
      </c>
    </row>
    <row r="10" spans="1:9" ht="22" customHeight="1">
      <c r="A10" s="6" t="s">
        <v>546</v>
      </c>
      <c r="B10" s="6" t="s">
        <v>543</v>
      </c>
      <c r="C10" s="6" t="s">
        <v>547</v>
      </c>
      <c r="D10" s="14" t="s">
        <v>548</v>
      </c>
      <c r="E10" s="15">
        <v>2</v>
      </c>
      <c r="F10" s="15" t="s">
        <v>51</v>
      </c>
      <c r="G10" s="6" t="s">
        <v>148</v>
      </c>
    </row>
    <row r="11" spans="1:9" ht="22" customHeight="1">
      <c r="A11" s="6" t="s">
        <v>549</v>
      </c>
      <c r="B11" s="6" t="s">
        <v>543</v>
      </c>
      <c r="C11" s="6" t="s">
        <v>550</v>
      </c>
      <c r="D11" s="14" t="s">
        <v>551</v>
      </c>
      <c r="E11" s="15">
        <v>3</v>
      </c>
      <c r="F11" s="15" t="s">
        <v>51</v>
      </c>
      <c r="G11" s="6" t="s">
        <v>154</v>
      </c>
    </row>
    <row r="12" spans="1:9" ht="22" customHeight="1">
      <c r="A12" s="6" t="s">
        <v>552</v>
      </c>
      <c r="B12" s="6" t="s">
        <v>553</v>
      </c>
      <c r="C12" s="6" t="s">
        <v>554</v>
      </c>
      <c r="D12" s="14" t="s">
        <v>555</v>
      </c>
      <c r="E12" s="15">
        <v>2</v>
      </c>
      <c r="F12" s="15" t="s">
        <v>51</v>
      </c>
      <c r="G12" s="6" t="s">
        <v>159</v>
      </c>
    </row>
    <row r="13" spans="1:9" ht="22" customHeight="1">
      <c r="A13" s="6" t="s">
        <v>556</v>
      </c>
      <c r="B13" s="6" t="s">
        <v>553</v>
      </c>
      <c r="C13" s="6" t="s">
        <v>557</v>
      </c>
      <c r="D13" s="14" t="s">
        <v>558</v>
      </c>
      <c r="E13" s="15">
        <v>2</v>
      </c>
      <c r="F13" s="15" t="s">
        <v>51</v>
      </c>
      <c r="G13" s="6" t="s">
        <v>559</v>
      </c>
    </row>
    <row r="14" spans="1:9" ht="22" customHeight="1">
      <c r="A14" s="6" t="s">
        <v>560</v>
      </c>
      <c r="B14" s="6" t="s">
        <v>561</v>
      </c>
      <c r="C14" s="6" t="s">
        <v>562</v>
      </c>
      <c r="D14" s="14" t="s">
        <v>563</v>
      </c>
      <c r="E14" s="15">
        <v>2</v>
      </c>
      <c r="F14" s="15" t="s">
        <v>51</v>
      </c>
      <c r="G14" s="6" t="s">
        <v>259</v>
      </c>
    </row>
    <row r="15" spans="1:9" ht="22" customHeight="1">
      <c r="A15" s="6" t="s">
        <v>564</v>
      </c>
      <c r="B15" s="6" t="s">
        <v>171</v>
      </c>
      <c r="C15" s="6" t="s">
        <v>565</v>
      </c>
      <c r="D15" s="14" t="s">
        <v>566</v>
      </c>
      <c r="E15" s="15">
        <v>2</v>
      </c>
      <c r="F15" s="15" t="s">
        <v>51</v>
      </c>
      <c r="G15" s="6" t="s">
        <v>170</v>
      </c>
    </row>
    <row r="16" spans="1:9" ht="22" customHeight="1">
      <c r="A16" s="6" t="s">
        <v>567</v>
      </c>
      <c r="B16" s="6" t="s">
        <v>171</v>
      </c>
      <c r="C16" s="6" t="s">
        <v>568</v>
      </c>
      <c r="D16" s="14" t="s">
        <v>569</v>
      </c>
      <c r="E16" s="15">
        <v>2</v>
      </c>
      <c r="F16" s="15" t="s">
        <v>51</v>
      </c>
      <c r="G16" s="6" t="s">
        <v>170</v>
      </c>
    </row>
  </sheetData>
  <phoneticPr fontId="5"/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4"/>
  <sheetViews>
    <sheetView showGridLines="0" workbookViewId="0">
      <pane ySplit="4" topLeftCell="A5" activePane="bottomLeft" state="frozen"/>
      <selection pane="bottomLeft"/>
    </sheetView>
  </sheetViews>
  <sheetFormatPr baseColWidth="10" defaultColWidth="8.83203125" defaultRowHeight="14"/>
  <cols>
    <col min="1" max="1" width="8" customWidth="1"/>
    <col min="2" max="2" width="12" customWidth="1"/>
    <col min="3" max="3" width="18" customWidth="1"/>
    <col min="4" max="4" width="52" customWidth="1"/>
    <col min="5" max="7" width="10" customWidth="1"/>
    <col min="9" max="9" width="28" customWidth="1"/>
  </cols>
  <sheetData>
    <row r="1" spans="1:9" ht="24" customHeight="1">
      <c r="A1" s="1" t="s">
        <v>570</v>
      </c>
    </row>
    <row r="2" spans="1:9" ht="20" customHeight="1">
      <c r="A2" s="2" t="s">
        <v>571</v>
      </c>
      <c r="I2" s="3" t="s">
        <v>2</v>
      </c>
    </row>
    <row r="3" spans="1:9" ht="45">
      <c r="I3" s="4" t="s">
        <v>524</v>
      </c>
    </row>
    <row r="4" spans="1:9" ht="22" customHeight="1">
      <c r="A4" s="5" t="s">
        <v>525</v>
      </c>
      <c r="B4" s="5" t="s">
        <v>572</v>
      </c>
      <c r="C4" s="5" t="s">
        <v>39</v>
      </c>
      <c r="D4" s="5" t="s">
        <v>527</v>
      </c>
      <c r="E4" s="5" t="s">
        <v>43</v>
      </c>
      <c r="F4" s="5" t="s">
        <v>44</v>
      </c>
      <c r="G4" s="5" t="s">
        <v>528</v>
      </c>
    </row>
    <row r="5" spans="1:9" ht="22" customHeight="1">
      <c r="A5" s="6" t="s">
        <v>573</v>
      </c>
      <c r="B5" s="6" t="s">
        <v>574</v>
      </c>
      <c r="C5" s="6" t="s">
        <v>575</v>
      </c>
      <c r="D5" s="14" t="s">
        <v>576</v>
      </c>
      <c r="E5" s="15">
        <v>1</v>
      </c>
      <c r="F5" s="15" t="s">
        <v>51</v>
      </c>
      <c r="G5" s="6" t="s">
        <v>577</v>
      </c>
    </row>
    <row r="6" spans="1:9" ht="22" customHeight="1">
      <c r="A6" s="6" t="s">
        <v>578</v>
      </c>
      <c r="B6" s="6" t="s">
        <v>574</v>
      </c>
      <c r="C6" s="6" t="s">
        <v>579</v>
      </c>
      <c r="D6" s="14" t="s">
        <v>580</v>
      </c>
      <c r="E6" s="15">
        <v>2</v>
      </c>
      <c r="F6" s="15" t="s">
        <v>51</v>
      </c>
      <c r="G6" s="6" t="s">
        <v>275</v>
      </c>
    </row>
    <row r="7" spans="1:9" ht="22" customHeight="1">
      <c r="A7" s="6" t="s">
        <v>581</v>
      </c>
      <c r="B7" s="6" t="s">
        <v>39</v>
      </c>
      <c r="C7" s="6" t="s">
        <v>582</v>
      </c>
      <c r="D7" s="14" t="s">
        <v>583</v>
      </c>
      <c r="E7" s="15">
        <v>3</v>
      </c>
      <c r="F7" s="15" t="s">
        <v>51</v>
      </c>
      <c r="G7" s="6" t="s">
        <v>282</v>
      </c>
    </row>
    <row r="8" spans="1:9" ht="22" customHeight="1">
      <c r="A8" s="6" t="s">
        <v>584</v>
      </c>
      <c r="B8" s="6" t="s">
        <v>39</v>
      </c>
      <c r="C8" s="6" t="s">
        <v>585</v>
      </c>
      <c r="D8" s="14" t="s">
        <v>586</v>
      </c>
      <c r="E8" s="15">
        <v>2</v>
      </c>
      <c r="F8" s="15" t="s">
        <v>51</v>
      </c>
      <c r="G8" s="6" t="s">
        <v>289</v>
      </c>
    </row>
    <row r="9" spans="1:9" ht="22" customHeight="1">
      <c r="A9" s="6" t="s">
        <v>587</v>
      </c>
      <c r="B9" s="6" t="s">
        <v>588</v>
      </c>
      <c r="C9" s="6" t="s">
        <v>589</v>
      </c>
      <c r="D9" s="14" t="s">
        <v>590</v>
      </c>
      <c r="E9" s="15">
        <v>2</v>
      </c>
      <c r="F9" s="15" t="s">
        <v>74</v>
      </c>
      <c r="G9" s="6" t="s">
        <v>316</v>
      </c>
    </row>
    <row r="10" spans="1:9" ht="22" customHeight="1">
      <c r="A10" s="6" t="s">
        <v>591</v>
      </c>
      <c r="B10" s="6" t="s">
        <v>592</v>
      </c>
      <c r="C10" s="6" t="s">
        <v>585</v>
      </c>
      <c r="D10" s="14" t="s">
        <v>359</v>
      </c>
      <c r="E10" s="15">
        <v>2</v>
      </c>
      <c r="F10" s="15" t="s">
        <v>74</v>
      </c>
      <c r="G10" s="6" t="s">
        <v>355</v>
      </c>
    </row>
    <row r="11" spans="1:9" ht="22" customHeight="1">
      <c r="A11" s="6" t="s">
        <v>593</v>
      </c>
      <c r="B11" s="6" t="s">
        <v>594</v>
      </c>
      <c r="C11" s="6" t="s">
        <v>595</v>
      </c>
      <c r="D11" s="14" t="s">
        <v>596</v>
      </c>
      <c r="E11" s="15">
        <v>3</v>
      </c>
      <c r="F11" s="15" t="s">
        <v>129</v>
      </c>
      <c r="G11" s="6" t="s">
        <v>390</v>
      </c>
    </row>
    <row r="12" spans="1:9" ht="22" customHeight="1">
      <c r="A12" s="6" t="s">
        <v>597</v>
      </c>
      <c r="B12" s="6" t="s">
        <v>598</v>
      </c>
      <c r="C12" s="6" t="s">
        <v>599</v>
      </c>
      <c r="D12" s="14" t="s">
        <v>600</v>
      </c>
      <c r="E12" s="15">
        <v>2</v>
      </c>
      <c r="F12" s="15" t="s">
        <v>51</v>
      </c>
      <c r="G12" s="6" t="s">
        <v>275</v>
      </c>
    </row>
    <row r="13" spans="1:9" ht="22" customHeight="1">
      <c r="A13" s="6" t="s">
        <v>601</v>
      </c>
      <c r="B13" s="6" t="s">
        <v>602</v>
      </c>
      <c r="C13" s="6" t="s">
        <v>603</v>
      </c>
      <c r="D13" s="14" t="s">
        <v>604</v>
      </c>
      <c r="E13" s="15">
        <v>2</v>
      </c>
      <c r="F13" s="15" t="s">
        <v>51</v>
      </c>
      <c r="G13" s="6" t="s">
        <v>408</v>
      </c>
    </row>
    <row r="14" spans="1:9" ht="22" customHeight="1">
      <c r="A14" s="6" t="s">
        <v>605</v>
      </c>
      <c r="B14" s="6" t="s">
        <v>171</v>
      </c>
      <c r="C14" s="6" t="s">
        <v>606</v>
      </c>
      <c r="D14" s="14" t="s">
        <v>607</v>
      </c>
      <c r="E14" s="15">
        <v>3</v>
      </c>
      <c r="F14" s="15" t="s">
        <v>51</v>
      </c>
      <c r="G14" s="6" t="s">
        <v>608</v>
      </c>
    </row>
  </sheetData>
  <phoneticPr fontId="5"/>
  <pageMargins left="0.75" right="0.75" top="1" bottom="1" header="0.5" footer="0.5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4"/>
  <sheetViews>
    <sheetView showGridLines="0" workbookViewId="0">
      <pane ySplit="4" topLeftCell="A5" activePane="bottomLeft" state="frozen"/>
      <selection pane="bottomLeft"/>
    </sheetView>
  </sheetViews>
  <sheetFormatPr baseColWidth="10" defaultColWidth="8.83203125" defaultRowHeight="14"/>
  <cols>
    <col min="1" max="1" width="8" customWidth="1"/>
    <col min="2" max="2" width="12" customWidth="1"/>
    <col min="3" max="3" width="18" customWidth="1"/>
    <col min="4" max="4" width="52" customWidth="1"/>
    <col min="5" max="7" width="10" customWidth="1"/>
    <col min="9" max="9" width="28" customWidth="1"/>
  </cols>
  <sheetData>
    <row r="1" spans="1:9" ht="24" customHeight="1">
      <c r="A1" s="1" t="s">
        <v>609</v>
      </c>
    </row>
    <row r="2" spans="1:9" ht="20" customHeight="1">
      <c r="A2" s="2" t="s">
        <v>610</v>
      </c>
      <c r="I2" s="3" t="s">
        <v>2</v>
      </c>
    </row>
    <row r="3" spans="1:9" ht="45">
      <c r="I3" s="4" t="s">
        <v>524</v>
      </c>
    </row>
    <row r="4" spans="1:9" ht="22" customHeight="1">
      <c r="A4" s="5" t="s">
        <v>525</v>
      </c>
      <c r="B4" s="5" t="s">
        <v>572</v>
      </c>
      <c r="C4" s="5" t="s">
        <v>39</v>
      </c>
      <c r="D4" s="5" t="s">
        <v>527</v>
      </c>
      <c r="E4" s="5" t="s">
        <v>43</v>
      </c>
      <c r="F4" s="5" t="s">
        <v>44</v>
      </c>
      <c r="G4" s="5" t="s">
        <v>528</v>
      </c>
    </row>
    <row r="5" spans="1:9" ht="22" customHeight="1">
      <c r="A5" s="6" t="s">
        <v>611</v>
      </c>
      <c r="B5" s="6" t="s">
        <v>612</v>
      </c>
      <c r="C5" s="6" t="s">
        <v>613</v>
      </c>
      <c r="D5" s="14" t="s">
        <v>614</v>
      </c>
      <c r="E5" s="15">
        <v>2</v>
      </c>
      <c r="F5" s="15" t="s">
        <v>74</v>
      </c>
      <c r="G5" s="6" t="s">
        <v>334</v>
      </c>
    </row>
    <row r="6" spans="1:9" ht="22" customHeight="1">
      <c r="A6" s="6" t="s">
        <v>615</v>
      </c>
      <c r="B6" s="6" t="s">
        <v>612</v>
      </c>
      <c r="C6" s="6" t="s">
        <v>616</v>
      </c>
      <c r="D6" s="14" t="s">
        <v>617</v>
      </c>
      <c r="E6" s="15">
        <v>2</v>
      </c>
      <c r="F6" s="15" t="s">
        <v>74</v>
      </c>
      <c r="G6" s="6" t="s">
        <v>334</v>
      </c>
    </row>
    <row r="7" spans="1:9" ht="22" customHeight="1">
      <c r="A7" s="6" t="s">
        <v>618</v>
      </c>
      <c r="B7" s="6" t="s">
        <v>619</v>
      </c>
      <c r="C7" s="6" t="s">
        <v>620</v>
      </c>
      <c r="D7" s="14" t="s">
        <v>621</v>
      </c>
      <c r="E7" s="15">
        <v>1</v>
      </c>
      <c r="F7" s="15" t="s">
        <v>74</v>
      </c>
      <c r="G7" s="6" t="s">
        <v>64</v>
      </c>
    </row>
    <row r="8" spans="1:9" ht="22" customHeight="1">
      <c r="A8" s="6" t="s">
        <v>622</v>
      </c>
      <c r="B8" s="6" t="s">
        <v>177</v>
      </c>
      <c r="C8" s="6" t="s">
        <v>623</v>
      </c>
      <c r="D8" s="14" t="s">
        <v>624</v>
      </c>
      <c r="E8" s="15">
        <v>4</v>
      </c>
      <c r="F8" s="15" t="s">
        <v>74</v>
      </c>
      <c r="G8" s="6" t="s">
        <v>344</v>
      </c>
    </row>
    <row r="9" spans="1:9" ht="22" customHeight="1">
      <c r="A9" s="6" t="s">
        <v>625</v>
      </c>
      <c r="B9" s="6" t="s">
        <v>177</v>
      </c>
      <c r="C9" s="6" t="s">
        <v>626</v>
      </c>
      <c r="D9" s="14" t="s">
        <v>627</v>
      </c>
      <c r="E9" s="15">
        <v>2</v>
      </c>
      <c r="F9" s="15" t="s">
        <v>74</v>
      </c>
      <c r="G9" s="6" t="s">
        <v>350</v>
      </c>
    </row>
    <row r="10" spans="1:9" ht="22" customHeight="1">
      <c r="A10" s="6" t="s">
        <v>628</v>
      </c>
      <c r="B10" s="6" t="s">
        <v>177</v>
      </c>
      <c r="C10" s="6" t="s">
        <v>629</v>
      </c>
      <c r="D10" s="14" t="s">
        <v>630</v>
      </c>
      <c r="E10" s="15">
        <v>2</v>
      </c>
      <c r="F10" s="15" t="s">
        <v>74</v>
      </c>
      <c r="G10" s="6" t="s">
        <v>350</v>
      </c>
    </row>
    <row r="11" spans="1:9" ht="22" customHeight="1">
      <c r="A11" s="6" t="s">
        <v>631</v>
      </c>
      <c r="B11" s="6" t="s">
        <v>177</v>
      </c>
      <c r="C11" s="6" t="s">
        <v>632</v>
      </c>
      <c r="D11" s="14" t="s">
        <v>633</v>
      </c>
      <c r="E11" s="15">
        <v>2</v>
      </c>
      <c r="F11" s="15" t="s">
        <v>74</v>
      </c>
      <c r="G11" s="6" t="s">
        <v>355</v>
      </c>
    </row>
    <row r="12" spans="1:9" ht="22" customHeight="1">
      <c r="A12" s="6" t="s">
        <v>634</v>
      </c>
      <c r="B12" s="6" t="s">
        <v>635</v>
      </c>
      <c r="C12" s="6" t="s">
        <v>636</v>
      </c>
      <c r="D12" s="14" t="s">
        <v>637</v>
      </c>
      <c r="E12" s="15">
        <v>2</v>
      </c>
      <c r="F12" s="15" t="s">
        <v>74</v>
      </c>
      <c r="G12" s="6" t="s">
        <v>360</v>
      </c>
    </row>
    <row r="13" spans="1:9" ht="22" customHeight="1">
      <c r="A13" s="6" t="s">
        <v>638</v>
      </c>
      <c r="B13" s="6" t="s">
        <v>639</v>
      </c>
      <c r="C13" s="6" t="s">
        <v>640</v>
      </c>
      <c r="D13" s="14" t="s">
        <v>641</v>
      </c>
      <c r="E13" s="15">
        <v>4</v>
      </c>
      <c r="F13" s="15" t="s">
        <v>74</v>
      </c>
      <c r="G13" s="6" t="s">
        <v>366</v>
      </c>
    </row>
    <row r="14" spans="1:9" ht="22" customHeight="1">
      <c r="A14" s="6" t="s">
        <v>642</v>
      </c>
      <c r="B14" s="6" t="s">
        <v>568</v>
      </c>
      <c r="C14" s="6" t="s">
        <v>643</v>
      </c>
      <c r="D14" s="14" t="s">
        <v>644</v>
      </c>
      <c r="E14" s="15">
        <v>2</v>
      </c>
      <c r="F14" s="15" t="s">
        <v>74</v>
      </c>
      <c r="G14" s="6" t="s">
        <v>645</v>
      </c>
    </row>
  </sheetData>
  <phoneticPr fontId="5"/>
  <pageMargins left="0.75" right="0.75" top="1" bottom="1" header="0.5" footer="0.5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4"/>
  <sheetViews>
    <sheetView showGridLines="0" workbookViewId="0">
      <pane ySplit="4" topLeftCell="A5" activePane="bottomLeft" state="frozen"/>
      <selection pane="bottomLeft"/>
    </sheetView>
  </sheetViews>
  <sheetFormatPr baseColWidth="10" defaultColWidth="8.83203125" defaultRowHeight="14"/>
  <cols>
    <col min="1" max="1" width="8" customWidth="1"/>
    <col min="2" max="2" width="12" customWidth="1"/>
    <col min="3" max="3" width="22" customWidth="1"/>
    <col min="4" max="4" width="54" customWidth="1"/>
    <col min="5" max="7" width="10" customWidth="1"/>
    <col min="9" max="9" width="28" customWidth="1"/>
  </cols>
  <sheetData>
    <row r="1" spans="1:9" ht="24" customHeight="1">
      <c r="A1" s="1" t="s">
        <v>646</v>
      </c>
    </row>
    <row r="2" spans="1:9" ht="20" customHeight="1">
      <c r="A2" s="2" t="s">
        <v>647</v>
      </c>
      <c r="I2" s="3" t="s">
        <v>2</v>
      </c>
    </row>
    <row r="3" spans="1:9" ht="45">
      <c r="I3" s="4" t="s">
        <v>524</v>
      </c>
    </row>
    <row r="4" spans="1:9" ht="22" customHeight="1">
      <c r="A4" s="5" t="s">
        <v>525</v>
      </c>
      <c r="B4" s="5" t="s">
        <v>572</v>
      </c>
      <c r="C4" s="5" t="s">
        <v>39</v>
      </c>
      <c r="D4" s="5" t="s">
        <v>527</v>
      </c>
      <c r="E4" s="5" t="s">
        <v>43</v>
      </c>
      <c r="F4" s="5" t="s">
        <v>44</v>
      </c>
      <c r="G4" s="5" t="s">
        <v>528</v>
      </c>
    </row>
    <row r="5" spans="1:9" ht="22" customHeight="1">
      <c r="A5" s="6" t="s">
        <v>648</v>
      </c>
      <c r="B5" s="6" t="s">
        <v>402</v>
      </c>
      <c r="C5" s="6" t="s">
        <v>649</v>
      </c>
      <c r="D5" s="14" t="s">
        <v>650</v>
      </c>
      <c r="E5" s="15">
        <v>3</v>
      </c>
      <c r="F5" s="15" t="s">
        <v>51</v>
      </c>
      <c r="G5" s="6" t="s">
        <v>401</v>
      </c>
    </row>
    <row r="6" spans="1:9" ht="22" customHeight="1">
      <c r="A6" s="6" t="s">
        <v>651</v>
      </c>
      <c r="B6" s="6" t="s">
        <v>402</v>
      </c>
      <c r="C6" s="6" t="s">
        <v>652</v>
      </c>
      <c r="D6" s="14" t="s">
        <v>653</v>
      </c>
      <c r="E6" s="15">
        <v>2</v>
      </c>
      <c r="F6" s="15" t="s">
        <v>51</v>
      </c>
      <c r="G6" s="6" t="s">
        <v>408</v>
      </c>
    </row>
    <row r="7" spans="1:9" ht="22" customHeight="1">
      <c r="A7" s="6" t="s">
        <v>654</v>
      </c>
      <c r="B7" s="6" t="s">
        <v>402</v>
      </c>
      <c r="C7" s="6" t="s">
        <v>655</v>
      </c>
      <c r="D7" s="14" t="s">
        <v>656</v>
      </c>
      <c r="E7" s="15">
        <v>2</v>
      </c>
      <c r="F7" s="15" t="s">
        <v>51</v>
      </c>
      <c r="G7" s="6" t="s">
        <v>408</v>
      </c>
    </row>
    <row r="8" spans="1:9" ht="22" customHeight="1">
      <c r="A8" s="6" t="s">
        <v>657</v>
      </c>
      <c r="B8" s="6" t="s">
        <v>402</v>
      </c>
      <c r="C8" s="6" t="s">
        <v>658</v>
      </c>
      <c r="D8" s="14" t="s">
        <v>659</v>
      </c>
      <c r="E8" s="15">
        <v>2</v>
      </c>
      <c r="F8" s="15" t="s">
        <v>51</v>
      </c>
      <c r="G8" s="6" t="s">
        <v>408</v>
      </c>
    </row>
    <row r="9" spans="1:9" ht="22" customHeight="1">
      <c r="A9" s="6" t="s">
        <v>660</v>
      </c>
      <c r="B9" s="6" t="s">
        <v>402</v>
      </c>
      <c r="C9" s="6" t="s">
        <v>661</v>
      </c>
      <c r="D9" s="14" t="s">
        <v>662</v>
      </c>
      <c r="E9" s="15">
        <v>2</v>
      </c>
      <c r="F9" s="15" t="s">
        <v>51</v>
      </c>
      <c r="G9" s="6" t="s">
        <v>408</v>
      </c>
    </row>
    <row r="10" spans="1:9" ht="22" customHeight="1">
      <c r="A10" s="6" t="s">
        <v>663</v>
      </c>
      <c r="B10" s="6" t="s">
        <v>402</v>
      </c>
      <c r="C10" s="6" t="s">
        <v>664</v>
      </c>
      <c r="D10" s="14" t="s">
        <v>665</v>
      </c>
      <c r="E10" s="15">
        <v>2</v>
      </c>
      <c r="F10" s="15" t="s">
        <v>51</v>
      </c>
      <c r="G10" s="6" t="s">
        <v>408</v>
      </c>
    </row>
    <row r="11" spans="1:9" ht="22" customHeight="1">
      <c r="A11" s="6" t="s">
        <v>666</v>
      </c>
      <c r="B11" s="6" t="s">
        <v>419</v>
      </c>
      <c r="C11" s="6" t="s">
        <v>667</v>
      </c>
      <c r="D11" s="14" t="s">
        <v>668</v>
      </c>
      <c r="E11" s="15">
        <v>2</v>
      </c>
      <c r="F11" s="15" t="s">
        <v>51</v>
      </c>
      <c r="G11" s="6" t="s">
        <v>413</v>
      </c>
    </row>
    <row r="12" spans="1:9" ht="22" customHeight="1">
      <c r="A12" s="6" t="s">
        <v>669</v>
      </c>
      <c r="B12" s="6" t="s">
        <v>419</v>
      </c>
      <c r="C12" s="6" t="s">
        <v>670</v>
      </c>
      <c r="D12" s="14" t="s">
        <v>671</v>
      </c>
      <c r="E12" s="15">
        <v>3</v>
      </c>
      <c r="F12" s="15" t="s">
        <v>74</v>
      </c>
      <c r="G12" s="6" t="s">
        <v>418</v>
      </c>
    </row>
    <row r="13" spans="1:9" ht="22" customHeight="1">
      <c r="A13" s="6" t="s">
        <v>672</v>
      </c>
      <c r="B13" s="6" t="s">
        <v>419</v>
      </c>
      <c r="C13" s="6" t="s">
        <v>673</v>
      </c>
      <c r="D13" s="14" t="s">
        <v>674</v>
      </c>
      <c r="E13" s="15">
        <v>2</v>
      </c>
      <c r="F13" s="15" t="s">
        <v>74</v>
      </c>
      <c r="G13" s="6" t="s">
        <v>424</v>
      </c>
    </row>
    <row r="14" spans="1:9" ht="22" customHeight="1">
      <c r="A14" s="6" t="s">
        <v>675</v>
      </c>
      <c r="B14" s="6" t="s">
        <v>561</v>
      </c>
      <c r="C14" s="6" t="s">
        <v>676</v>
      </c>
      <c r="D14" s="14" t="s">
        <v>677</v>
      </c>
      <c r="E14" s="15">
        <v>2</v>
      </c>
      <c r="F14" s="15" t="s">
        <v>51</v>
      </c>
      <c r="G14" s="6" t="s">
        <v>262</v>
      </c>
    </row>
  </sheetData>
  <phoneticPr fontId="5"/>
  <pageMargins left="0.75" right="0.75" top="1" bottom="1" header="0.5" footer="0.5"/>
  <legacy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4"/>
  <sheetViews>
    <sheetView showGridLines="0" workbookViewId="0">
      <pane ySplit="4" topLeftCell="A5" activePane="bottomLeft" state="frozen"/>
      <selection pane="bottomLeft"/>
    </sheetView>
  </sheetViews>
  <sheetFormatPr baseColWidth="10" defaultColWidth="8.83203125" defaultRowHeight="14"/>
  <cols>
    <col min="1" max="1" width="8" customWidth="1"/>
    <col min="2" max="2" width="12" customWidth="1"/>
    <col min="3" max="3" width="22" customWidth="1"/>
    <col min="4" max="4" width="54" customWidth="1"/>
    <col min="5" max="7" width="10" customWidth="1"/>
    <col min="9" max="9" width="28" customWidth="1"/>
  </cols>
  <sheetData>
    <row r="1" spans="1:9" ht="24" customHeight="1">
      <c r="A1" s="1" t="s">
        <v>678</v>
      </c>
    </row>
    <row r="2" spans="1:9" ht="20" customHeight="1">
      <c r="A2" s="2" t="s">
        <v>679</v>
      </c>
      <c r="I2" s="3" t="s">
        <v>2</v>
      </c>
    </row>
    <row r="3" spans="1:9" ht="45">
      <c r="I3" s="4" t="s">
        <v>524</v>
      </c>
    </row>
    <row r="4" spans="1:9" ht="22" customHeight="1">
      <c r="A4" s="5" t="s">
        <v>525</v>
      </c>
      <c r="B4" s="5" t="s">
        <v>572</v>
      </c>
      <c r="C4" s="5" t="s">
        <v>39</v>
      </c>
      <c r="D4" s="5" t="s">
        <v>527</v>
      </c>
      <c r="E4" s="5" t="s">
        <v>43</v>
      </c>
      <c r="F4" s="5" t="s">
        <v>44</v>
      </c>
      <c r="G4" s="5" t="s">
        <v>528</v>
      </c>
    </row>
    <row r="5" spans="1:9" ht="22" customHeight="1">
      <c r="A5" s="6" t="s">
        <v>680</v>
      </c>
      <c r="B5" s="6" t="s">
        <v>452</v>
      </c>
      <c r="C5" s="6" t="s">
        <v>681</v>
      </c>
      <c r="D5" s="14" t="s">
        <v>682</v>
      </c>
      <c r="E5" s="15">
        <v>3</v>
      </c>
      <c r="F5" s="15" t="s">
        <v>74</v>
      </c>
      <c r="G5" s="6" t="s">
        <v>451</v>
      </c>
    </row>
    <row r="6" spans="1:9" ht="22" customHeight="1">
      <c r="A6" s="6" t="s">
        <v>683</v>
      </c>
      <c r="B6" s="6" t="s">
        <v>452</v>
      </c>
      <c r="C6" s="6" t="s">
        <v>684</v>
      </c>
      <c r="D6" s="14" t="s">
        <v>685</v>
      </c>
      <c r="E6" s="15">
        <v>3</v>
      </c>
      <c r="F6" s="15" t="s">
        <v>74</v>
      </c>
      <c r="G6" s="6" t="s">
        <v>457</v>
      </c>
    </row>
    <row r="7" spans="1:9" ht="22" customHeight="1">
      <c r="A7" s="6" t="s">
        <v>686</v>
      </c>
      <c r="B7" s="6" t="s">
        <v>452</v>
      </c>
      <c r="C7" s="6" t="s">
        <v>687</v>
      </c>
      <c r="D7" s="14" t="s">
        <v>688</v>
      </c>
      <c r="E7" s="15">
        <v>3</v>
      </c>
      <c r="F7" s="15" t="s">
        <v>129</v>
      </c>
      <c r="G7" s="6" t="s">
        <v>462</v>
      </c>
    </row>
    <row r="8" spans="1:9" ht="22" customHeight="1">
      <c r="A8" s="6" t="s">
        <v>689</v>
      </c>
      <c r="B8" s="6" t="s">
        <v>619</v>
      </c>
      <c r="C8" s="6" t="s">
        <v>690</v>
      </c>
      <c r="D8" s="14" t="s">
        <v>691</v>
      </c>
      <c r="E8" s="15">
        <v>2</v>
      </c>
      <c r="F8" s="15" t="s">
        <v>51</v>
      </c>
      <c r="G8" s="6" t="s">
        <v>467</v>
      </c>
    </row>
    <row r="9" spans="1:9" ht="22" customHeight="1">
      <c r="A9" s="6" t="s">
        <v>692</v>
      </c>
      <c r="B9" s="6" t="s">
        <v>468</v>
      </c>
      <c r="C9" s="6" t="s">
        <v>693</v>
      </c>
      <c r="D9" s="14" t="s">
        <v>694</v>
      </c>
      <c r="E9" s="15">
        <v>3</v>
      </c>
      <c r="F9" s="15" t="s">
        <v>51</v>
      </c>
      <c r="G9" s="6" t="s">
        <v>467</v>
      </c>
    </row>
    <row r="10" spans="1:9" ht="22" customHeight="1">
      <c r="A10" s="6" t="s">
        <v>695</v>
      </c>
      <c r="B10" s="6" t="s">
        <v>468</v>
      </c>
      <c r="C10" s="6" t="s">
        <v>696</v>
      </c>
      <c r="D10" s="14" t="s">
        <v>697</v>
      </c>
      <c r="E10" s="15">
        <v>2</v>
      </c>
      <c r="F10" s="15" t="s">
        <v>129</v>
      </c>
      <c r="G10" s="6" t="s">
        <v>462</v>
      </c>
    </row>
    <row r="11" spans="1:9" ht="22" customHeight="1">
      <c r="A11" s="6" t="s">
        <v>698</v>
      </c>
      <c r="B11" s="6" t="s">
        <v>474</v>
      </c>
      <c r="C11" s="6" t="s">
        <v>475</v>
      </c>
      <c r="D11" s="14" t="s">
        <v>699</v>
      </c>
      <c r="E11" s="15">
        <v>3</v>
      </c>
      <c r="F11" s="15" t="s">
        <v>51</v>
      </c>
      <c r="G11" s="6" t="s">
        <v>473</v>
      </c>
    </row>
    <row r="12" spans="1:9" ht="22" customHeight="1">
      <c r="A12" s="6" t="s">
        <v>700</v>
      </c>
      <c r="B12" s="6" t="s">
        <v>474</v>
      </c>
      <c r="C12" s="6" t="s">
        <v>701</v>
      </c>
      <c r="D12" s="14" t="s">
        <v>702</v>
      </c>
      <c r="E12" s="15">
        <v>2</v>
      </c>
      <c r="F12" s="15" t="s">
        <v>51</v>
      </c>
      <c r="G12" s="6" t="s">
        <v>480</v>
      </c>
    </row>
    <row r="13" spans="1:9" ht="22" customHeight="1">
      <c r="A13" s="6" t="s">
        <v>703</v>
      </c>
      <c r="B13" s="6" t="s">
        <v>474</v>
      </c>
      <c r="C13" s="6" t="s">
        <v>704</v>
      </c>
      <c r="D13" s="14" t="s">
        <v>705</v>
      </c>
      <c r="E13" s="15">
        <v>2</v>
      </c>
      <c r="F13" s="15" t="s">
        <v>51</v>
      </c>
      <c r="G13" s="6" t="s">
        <v>480</v>
      </c>
    </row>
    <row r="14" spans="1:9" ht="22" customHeight="1">
      <c r="A14" s="6" t="s">
        <v>706</v>
      </c>
      <c r="B14" s="6" t="s">
        <v>707</v>
      </c>
      <c r="C14" s="6" t="s">
        <v>708</v>
      </c>
      <c r="D14" s="14" t="s">
        <v>709</v>
      </c>
      <c r="E14" s="15">
        <v>2</v>
      </c>
      <c r="F14" s="15" t="s">
        <v>129</v>
      </c>
      <c r="G14" s="6" t="s">
        <v>485</v>
      </c>
    </row>
  </sheetData>
  <phoneticPr fontId="5"/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4"/>
  <sheetViews>
    <sheetView showGridLines="0" workbookViewId="0">
      <pane ySplit="4" topLeftCell="A5" activePane="bottomLeft" state="frozen"/>
      <selection pane="bottomLeft"/>
    </sheetView>
  </sheetViews>
  <sheetFormatPr baseColWidth="10" defaultColWidth="8.83203125" defaultRowHeight="14"/>
  <cols>
    <col min="1" max="1" width="10" customWidth="1"/>
    <col min="2" max="2" width="32" customWidth="1"/>
    <col min="3" max="3" width="44" customWidth="1"/>
    <col min="4" max="4" width="10" customWidth="1"/>
    <col min="5" max="5" width="12" customWidth="1"/>
  </cols>
  <sheetData>
    <row r="1" spans="1:5" ht="24" customHeight="1">
      <c r="A1" s="1" t="s">
        <v>710</v>
      </c>
    </row>
    <row r="2" spans="1:5" ht="20" customHeight="1">
      <c r="A2" s="2" t="s">
        <v>711</v>
      </c>
    </row>
    <row r="4" spans="1:5" ht="22" customHeight="1">
      <c r="A4" s="5" t="s">
        <v>525</v>
      </c>
      <c r="B4" s="5" t="s">
        <v>712</v>
      </c>
      <c r="C4" s="5" t="s">
        <v>713</v>
      </c>
      <c r="D4" s="5" t="s">
        <v>714</v>
      </c>
      <c r="E4" s="5" t="s">
        <v>528</v>
      </c>
    </row>
    <row r="5" spans="1:5" ht="22" customHeight="1">
      <c r="A5" t="s">
        <v>715</v>
      </c>
      <c r="B5" s="4" t="s">
        <v>716</v>
      </c>
      <c r="C5" s="4" t="s">
        <v>717</v>
      </c>
      <c r="D5" s="16" t="s">
        <v>718</v>
      </c>
      <c r="E5" t="s">
        <v>719</v>
      </c>
    </row>
    <row r="6" spans="1:5" ht="22" customHeight="1">
      <c r="A6" t="s">
        <v>720</v>
      </c>
      <c r="B6" s="4" t="s">
        <v>721</v>
      </c>
      <c r="C6" s="4" t="s">
        <v>722</v>
      </c>
      <c r="D6" s="16" t="s">
        <v>718</v>
      </c>
      <c r="E6" t="s">
        <v>559</v>
      </c>
    </row>
    <row r="7" spans="1:5" ht="22" customHeight="1">
      <c r="A7" t="s">
        <v>723</v>
      </c>
      <c r="B7" s="4" t="s">
        <v>724</v>
      </c>
      <c r="C7" s="4" t="s">
        <v>725</v>
      </c>
      <c r="D7" s="16" t="s">
        <v>718</v>
      </c>
      <c r="E7" t="s">
        <v>726</v>
      </c>
    </row>
    <row r="8" spans="1:5" ht="22" customHeight="1">
      <c r="A8" t="s">
        <v>727</v>
      </c>
      <c r="B8" s="4" t="s">
        <v>728</v>
      </c>
      <c r="C8" s="4" t="s">
        <v>729</v>
      </c>
      <c r="D8" s="16" t="s">
        <v>718</v>
      </c>
      <c r="E8" t="s">
        <v>730</v>
      </c>
    </row>
    <row r="9" spans="1:5" ht="22" customHeight="1">
      <c r="A9" t="s">
        <v>731</v>
      </c>
      <c r="B9" s="4" t="s">
        <v>732</v>
      </c>
      <c r="C9" s="4" t="s">
        <v>733</v>
      </c>
      <c r="D9" s="16" t="s">
        <v>718</v>
      </c>
      <c r="E9" t="s">
        <v>275</v>
      </c>
    </row>
    <row r="10" spans="1:5" ht="22" customHeight="1">
      <c r="A10" t="s">
        <v>734</v>
      </c>
      <c r="B10" s="4" t="s">
        <v>735</v>
      </c>
      <c r="C10" s="4" t="s">
        <v>736</v>
      </c>
      <c r="D10" s="16" t="s">
        <v>718</v>
      </c>
      <c r="E10" t="s">
        <v>299</v>
      </c>
    </row>
    <row r="11" spans="1:5" ht="22" customHeight="1">
      <c r="A11" t="s">
        <v>737</v>
      </c>
      <c r="B11" s="4" t="s">
        <v>738</v>
      </c>
      <c r="C11" s="4" t="s">
        <v>739</v>
      </c>
      <c r="D11" s="16" t="s">
        <v>718</v>
      </c>
      <c r="E11" t="s">
        <v>334</v>
      </c>
    </row>
    <row r="12" spans="1:5" ht="22" customHeight="1">
      <c r="A12" t="s">
        <v>740</v>
      </c>
      <c r="B12" s="4" t="s">
        <v>741</v>
      </c>
      <c r="C12" s="4" t="s">
        <v>742</v>
      </c>
      <c r="D12" s="16" t="s">
        <v>718</v>
      </c>
      <c r="E12" t="s">
        <v>743</v>
      </c>
    </row>
    <row r="13" spans="1:5" ht="22" customHeight="1">
      <c r="A13" t="s">
        <v>744</v>
      </c>
      <c r="B13" s="4" t="s">
        <v>745</v>
      </c>
      <c r="C13" s="4" t="s">
        <v>746</v>
      </c>
      <c r="D13" s="16" t="s">
        <v>718</v>
      </c>
      <c r="E13" t="s">
        <v>446</v>
      </c>
    </row>
    <row r="14" spans="1:5" ht="22" customHeight="1">
      <c r="A14" t="s">
        <v>747</v>
      </c>
      <c r="B14" s="4" t="s">
        <v>748</v>
      </c>
      <c r="C14" s="4" t="s">
        <v>749</v>
      </c>
      <c r="D14" s="16" t="s">
        <v>718</v>
      </c>
      <c r="E14" t="s">
        <v>750</v>
      </c>
    </row>
  </sheetData>
  <phoneticPr fontId="5"/>
  <dataValidations count="1">
    <dataValidation type="list" sqref="D5:D14" xr:uid="{00000000-0002-0000-0800-000000000000}">
      <formula1>"未確認,OK,NG,保留"</formula1>
    </dataValidation>
  </dataValidation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00_使い方</vt:lpstr>
      <vt:lpstr>01_サマリー</vt:lpstr>
      <vt:lpstr>02_WBS全体</vt:lpstr>
      <vt:lpstr>03_JWT詳細</vt:lpstr>
      <vt:lpstr>04_RBAC詳細</vt:lpstr>
      <vt:lpstr>05_S3添付詳細</vt:lpstr>
      <vt:lpstr>06_エラー_ログ詳細</vt:lpstr>
      <vt:lpstr>07_AWS詳細</vt:lpstr>
      <vt:lpstr>08_受入チェック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将伍 佐伯</cp:lastModifiedBy>
  <dcterms:created xsi:type="dcterms:W3CDTF">2026-04-04T01:33:57Z</dcterms:created>
  <dcterms:modified xsi:type="dcterms:W3CDTF">2026-04-07T00:53:16Z</dcterms:modified>
</cp:coreProperties>
</file>