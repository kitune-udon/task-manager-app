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apple/Documents/projects/task-manager-app/docs/03_テスト/WBSID5/"/>
    </mc:Choice>
  </mc:AlternateContent>
  <xr:revisionPtr revIDLastSave="0" documentId="13_ncr:1_{86FF609D-A932-A646-A7A3-F4106C3D6CD1}" xr6:coauthVersionLast="47" xr6:coauthVersionMax="47" xr10:uidLastSave="{00000000-0000-0000-0000-000000000000}"/>
  <bookViews>
    <workbookView xWindow="0" yWindow="500" windowWidth="33600" windowHeight="19440" xr2:uid="{00000000-000D-0000-FFFF-FFFF00000000}"/>
  </bookViews>
  <sheets>
    <sheet name="5.9テストケース" sheetId="1" r:id="rId1"/>
    <sheet name="入力例" sheetId="2" r:id="rId2"/>
  </sheets>
  <definedNames>
    <definedName name="_xlnm._FilterDatabase" localSheetId="0" hidden="1">'5.9テストケース'!$A$12:$J$23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B8" i="1"/>
  <c r="B7" i="1"/>
  <c r="B6" i="1"/>
  <c r="B5" i="1"/>
</calcChain>
</file>

<file path=xl/sharedStrings.xml><?xml version="1.0" encoding="utf-8"?>
<sst xmlns="http://schemas.openxmlformats.org/spreadsheetml/2006/main" count="135" uniqueCount="113">
  <si>
    <t>WBS 5.9 エラーハンドリング実装 テストケース</t>
  </si>
  <si>
    <t>対象: バリデーションエラー / details の画面反映 / 401・403・404・409・500 ハンドリング</t>
  </si>
  <si>
    <t>進捗サマリー</t>
  </si>
  <si>
    <t>記入ルール</t>
  </si>
  <si>
    <t>総件数</t>
  </si>
  <si>
    <t>・G列「実施結果」は OK / NG / 保留 から選択</t>
  </si>
  <si>
    <t>OK</t>
  </si>
  <si>
    <t>・H列「備考」に事象・再現手順を記載</t>
  </si>
  <si>
    <t>NG</t>
  </si>
  <si>
    <t>・I列「レビュー判定」は 実施可 / 条件付き / 保留</t>
  </si>
  <si>
    <t>保留</t>
  </si>
  <si>
    <t>・J列「レビュー理由」で未実装・前提条件を確認</t>
  </si>
  <si>
    <t>未実施</t>
  </si>
  <si>
    <t>・条件付き / 保留のケースは実施可否を事前に判断する</t>
  </si>
  <si>
    <t>テストケース一覧</t>
  </si>
  <si>
    <t>No</t>
  </si>
  <si>
    <t>観点</t>
  </si>
  <si>
    <t>テストケース</t>
  </si>
  <si>
    <t>前提条件</t>
  </si>
  <si>
    <t>手順</t>
  </si>
  <si>
    <t>期待結果</t>
  </si>
  <si>
    <t>実施結果</t>
  </si>
  <si>
    <t>備考</t>
  </si>
  <si>
    <t>レビュー判定</t>
  </si>
  <si>
    <t>レビュー理由</t>
  </si>
  <si>
    <t>入力エラー</t>
  </si>
  <si>
    <t>ログイン画面でメールアドレス未入力・パスワード未入力のまま送信すると、各入力欄の下にエラーが表示される</t>
  </si>
  <si>
    <t>未ログイン状態である</t>
  </si>
  <si>
    <t>1. 未ログイン状態でログイン画面（/login）を開く
2. メールアドレス欄とパスワード欄を空のままにする
3. ログインボタンを押下する
4. 画面上のエラー表示を確認する</t>
  </si>
  <si>
    <t>メールアドレス欄とパスワード欄の下に必須エラーが表示される</t>
  </si>
  <si>
    <t>実施可</t>
  </si>
  <si>
    <t>画面側の必須チェックで確認可能</t>
  </si>
  <si>
    <t>新規登録画面で複数項目を未入力のまま送信すると、複数の項目エラーが同時に表示される</t>
  </si>
  <si>
    <t>1. 未ログイン状態で新規登録画面（/signup）を開く
2. 名前、メールアドレス、パスワードなど必須項目を空のままにする
3. 登録ボタンを押下する
4. 画面上のエラー表示を確認する</t>
  </si>
  <si>
    <t>未入力の各項目の下にエラーが同時に表示される</t>
  </si>
  <si>
    <t>details反映</t>
  </si>
  <si>
    <t>タスク作成でAPIが details を返した場合、該当フィールドの下にエラーが表示される</t>
  </si>
  <si>
    <t>ログイン済みである</t>
  </si>
  <si>
    <t>1. ログイン後、タスク作成画面（/tasks/new）を開く
2. タイトルを未入力のままにする
3. 期限欄に不正な値を入力する、または開発者ツール等で dueDate に不正値を含むリクエストを送れる状態にする
4. ステータスに不正値を送る場合は、開発者ツール等で status に TODO/DOING/DONE 以外の値を設定する
5. 登録ボタンを押下する
6. ブラウザのネットワークタブでレスポンス内容を確認する</t>
  </si>
  <si>
    <t>400 エラーとなり、API の details[].field / message に対応した項目の下へ個別エラーが表示される</t>
  </si>
  <si>
    <t>APIのdetails返却と画面反映を確認できる</t>
  </si>
  <si>
    <t>入力修正</t>
  </si>
  <si>
    <t>項目を修正すると、その項目のエラーだけが消える</t>
  </si>
  <si>
    <t>ログイン済みであり、項目エラーが表示中である</t>
  </si>
  <si>
    <t>1. タスク作成画面またはタスク編集画面で、複数の項目エラーが表示された状態にする
2. 例としてタイトル欄に正常な値を入力する
3. 他の項目（例: 期限、ステータス）は未修正のままにする
4. 画面上のエラー表示を確認する</t>
  </si>
  <si>
    <t>修正した項目のエラーのみ消え、他項目のエラーは残る</t>
  </si>
  <si>
    <t>フォームの項目別エラークリア挙動を確認できる</t>
  </si>
  <si>
    <t>認証エラー</t>
  </si>
  <si>
    <t>認証切れで保護APIを呼び出した場合、ログイン画面へ遷移する</t>
  </si>
  <si>
    <t>ログイン済みだがトークンを期限切れ状態にする</t>
  </si>
  <si>
    <t>1. 正常にログインする
2. ブラウザの開発者ツールを開き、localStorage または sessionStorage に保存されている JWT を確認する
3. 期限切れ JWT を保存する、または開発用に期限切れトークンへ差し替える
4. 期限切れトークンを保持したまま /tasks 一覧画面を開く、またはタスク更新操作を実行する
5. ブラウザのネットワークタブでレスポンスを確認する
6. 画面遷移とメッセージ表示を確認する</t>
  </si>
  <si>
    <t>401 AUTH-* を受け取り、ログイン画面へ遷移し、必要に応じてセッション切れメッセージが表示される</t>
  </si>
  <si>
    <t>条件付き</t>
  </si>
  <si>
    <t>期限切れJWTの準備または差し替え手順が必要</t>
  </si>
  <si>
    <t>認可エラー</t>
  </si>
  <si>
    <t>権限不足エラー時は画面を維持したまま操作不可メッセージを表示する</t>
  </si>
  <si>
    <t>403 を返す条件を用意する</t>
  </si>
  <si>
    <t>1. テストユーザーAでログインする
2. ユーザーAで対象データを作成する（例: タスク、コメントなど権限制御対象のデータ）
3. ログアウトする
4. テストユーザーBでログインする
5. ユーザーAが作成したデータに対して更新または削除操作を実行する
6. ブラウザのネットワークタブでレスポンスを確認する
7. 画面表示が維持されることを確認する</t>
  </si>
  <si>
    <t>403 エラーとなり、画面はログイン画面へ遷移せず維持され、操作不可メッセージが表示される</t>
  </si>
  <si>
    <t>403を返す権限制御対象の実装が現状未確定または未実装の可能性が高い</t>
  </si>
  <si>
    <t>リソースなし</t>
  </si>
  <si>
    <t>存在しないタスク詳細を表示した場合、対象なしとして扱われる</t>
  </si>
  <si>
    <t>ログイン済みで、存在しない taskId を把握している</t>
  </si>
  <si>
    <t>1. ログイン後、存在しない taskId を用意する（例: 999999 など DB に存在しないID）
2. ブラウザのアドレスバーに /tasks/{存在しないID} を入力してアクセスする
3. ブラウザのネットワークタブでタスク詳細取得APIのレスポンスを確認する
4. 画面上の案内メッセージまたは遷移先を確認する</t>
  </si>
  <si>
    <t>404 RES-TASK-404 を受け取り、再取得または一覧へ戻る導線が表示される</t>
  </si>
  <si>
    <t>存在しないtaskIdで404の確認が可能</t>
  </si>
  <si>
    <t>競合</t>
  </si>
  <si>
    <t>既存メールアドレスで新規登録すると 409 の重複エラーになる</t>
  </si>
  <si>
    <t>既存ユーザーのメールアドレスを把握している</t>
  </si>
  <si>
    <t>1. 既存ユーザーとして登録済みのメールアドレスを確認しておく
2. 未ログイン状態で新規登録画面（/signup）を開く
3. 名前、パスワードなど他の必須項目は正常値を入力する
4. メールアドレス欄に既存ユーザーのメールアドレスを入力する
5. 登録ボタンを押下する
6. ブラウザのネットワークタブでレスポンスを確認する</t>
  </si>
  <si>
    <t>409 USR-001 が返却され、重複エラーメッセージが表示される</t>
  </si>
  <si>
    <t>既存メールアドレスがあれば409の確認が可能</t>
  </si>
  <si>
    <t>システムエラー</t>
  </si>
  <si>
    <t>想定外エラー時は汎用エラーメッセージと再試行導線を表示する</t>
  </si>
  <si>
    <t>500 を返す条件を用意する</t>
  </si>
  <si>
    <t>1. アプリケーションを起動した状態で、DB コンテナまたはバックエンドが依存する外部サービスを停止する
2. フロントエンドからタスク一覧画面を開く、またはタスク作成/更新操作を実行する
3. ブラウザのネットワークタブでレスポンスを確認する
4. 画面上のエラーメッセージと再試行導線を確認する
5. 必要に応じてサービスを再起動し、再試行動作も確認する</t>
  </si>
  <si>
    <t>500 SYS-* を受け取り、フィールド単位ではなく画面上部に汎用エラーメッセージと再試行導線が表示される</t>
  </si>
  <si>
    <t>DB停止など環境側で500を意図的に発生させる操作が必要</t>
  </si>
  <si>
    <t>requestId</t>
  </si>
  <si>
    <t>エラーレスポンスに requestId が含まれる</t>
  </si>
  <si>
    <t>エラーを発生させられる状態である</t>
  </si>
  <si>
    <t>1. 任意のエラーを発生させる（例: タスク作成でタイトル未入力のまま登録する）
2. ブラウザの開発者ツールのネットワークタブで対象APIのレスポンスを開く
3. レスポンスボディに requestId が含まれるか確認する
4. あわせてレスポンスヘッダの X-Request-Id も確認する</t>
  </si>
  <si>
    <t>レスポンスボディまたは X-Request-Id ヘッダで requestId を確認できる</t>
  </si>
  <si>
    <t>任意のエラー発生時にrequestId確認が可能</t>
  </si>
  <si>
    <t>タスク編集画面で必須項目を不正にして更新すると、該当項目にエラーが表示される</t>
  </si>
  <si>
    <t>ログイン済みで編集可能なタスクが存在する</t>
  </si>
  <si>
    <t>1. ログイン後、編集可能な既存タスクの編集画面（/tasks/{id}/edit）を開く
2. タイトルを空にする
3. 必要に応じて期限欄に不正値を入力する、または開発者ツール等で dueDate に不正値を設定する
4. 更新ボタンを押下する
5. ブラウザのネットワークタブでレスポンスを確認する
6. 画面上の各項目エラー表示を確認する</t>
  </si>
  <si>
    <t>400 エラーとなり、更新は失敗し、該当項目の下にエラーが表示される</t>
  </si>
  <si>
    <t>編集画面で400と項目エラー表示を確認できる</t>
  </si>
  <si>
    <t>5.9 検証用入力例</t>
  </si>
  <si>
    <t>項目</t>
  </si>
  <si>
    <t>入力例</t>
  </si>
  <si>
    <t>ログイン未入力</t>
  </si>
  <si>
    <t>メールアドレス: 空 / パスワード: 空</t>
  </si>
  <si>
    <t>複数項目エラー確認</t>
  </si>
  <si>
    <t>新規登録重複</t>
  </si>
  <si>
    <t>既存メールアドレス: user@example.com</t>
  </si>
  <si>
    <t>409 USR-001 確認</t>
  </si>
  <si>
    <t>タスク作成未入力</t>
  </si>
  <si>
    <t>title: 空 / status: 空 / dueDate: 不正</t>
  </si>
  <si>
    <t>details 返却確認</t>
  </si>
  <si>
    <t>期限切れトークン</t>
  </si>
  <si>
    <t>有効期限切れ JWT を利用</t>
  </si>
  <si>
    <t>401 AUTH-004 確認</t>
  </si>
  <si>
    <t>存在しない taskId</t>
  </si>
  <si>
    <t>/tasks/999999</t>
  </si>
  <si>
    <t>404 RES-TASK-404 確認</t>
  </si>
  <si>
    <t>権限不足</t>
  </si>
  <si>
    <t>権限のないユーザーで更新操作</t>
  </si>
  <si>
    <t>403 確認</t>
  </si>
  <si>
    <t>S3/DB 障害を模擬</t>
  </si>
  <si>
    <t>500 SYS-* 確認</t>
  </si>
  <si>
    <t>OK</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</si>
</sst>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ＭＳ Ｐゴシック"/>
      <family val="2"/>
      <scheme val="minor"/>
    </font>
    <font>
      <b/>
      <sz val="14"/>
      <color rgb="FFFFFFFF"/>
      <name val="ＭＳ Ｐゴシック"/>
      <family val="2"/>
      <charset val="128"/>
    </font>
    <font>
      <b/>
      <sz val="11"/>
      <name val="ＭＳ Ｐゴシック"/>
      <family val="2"/>
      <charset val="128"/>
    </font>
    <font>
      <b/>
      <sz val="11"/>
      <color rgb="FFFFFFFF"/>
      <name val="ＭＳ Ｐゴシック"/>
      <family val="2"/>
      <charset val="128"/>
    </font>
    <font>
      <sz val="6"/>
      <name val="ＭＳ Ｐゴシック"/>
      <family val="3"/>
      <charset val="128"/>
      <scheme val="minor"/>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D9E1F2"/>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top" wrapText="1"/>
    </xf>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1" fillId="2" borderId="0" xfId="0" applyFont="1" applyFill="1" applyAlignment="1">
      <alignment horizontal="center" vertical="center" wrapText="1"/>
    </xf>
    <xf numFmtId="0" fontId="0" fillId="0" borderId="0" xfId="0"/>
    <xf numFmtId="0" fontId="2" fillId="4" borderId="0" xfId="0" applyFont="1" applyFill="1" applyAlignment="1">
      <alignment horizontal="center" vertical="center" wrapText="1"/>
    </xf>
    <xf numFmtId="0" fontId="2" fillId="3" borderId="0" xfId="0" applyFont="1" applyFill="1" applyAlignment="1">
      <alignment horizontal="left" vertical="top" wrapText="1"/>
    </xf>
    <xf numFmtId="0" fontId="2" fillId="5" borderId="0" xfId="0" applyFont="1" applyFill="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workbookViewId="0">
      <pane ySplit="12" topLeftCell="A13" activePane="bottomLeft" state="frozen"/>
      <selection pane="bottomLeft" activeCell="A2" sqref="A2:J2"/>
    </sheetView>
  </sheetViews>
  <sheetFormatPr baseColWidth="10" defaultColWidth="8.83203125" defaultRowHeight="14"/>
  <cols>
    <col min="1" max="1" width="6" customWidth="1"/>
    <col min="2" max="2" width="16" customWidth="1"/>
    <col min="3" max="3" width="42" customWidth="1"/>
    <col min="4" max="4" width="36" customWidth="1"/>
    <col min="5" max="5" width="58" customWidth="1"/>
    <col min="6" max="6" width="42" customWidth="1"/>
    <col min="7" max="7" width="12" customWidth="1"/>
    <col min="8" max="8" width="24" customWidth="1"/>
    <col min="9" max="9" width="12" customWidth="1"/>
    <col min="10" max="10" width="44" customWidth="1"/>
  </cols>
  <sheetData>
    <row r="1" spans="1:10">
      <c r="A1" s="5" t="s">
        <v>0</v>
      </c>
      <c r="B1" s="6"/>
      <c r="C1" s="6"/>
      <c r="D1" s="6"/>
      <c r="E1" s="6"/>
      <c r="F1" s="6"/>
      <c r="G1" s="6"/>
      <c r="H1" s="6"/>
      <c r="I1" s="6"/>
      <c r="J1" s="6"/>
    </row>
    <row r="2" spans="1:10">
      <c r="A2" s="8" t="s">
        <v>1</v>
      </c>
      <c r="B2" s="6"/>
      <c r="C2" s="6"/>
      <c r="D2" s="6"/>
      <c r="E2" s="6"/>
      <c r="F2" s="6"/>
      <c r="G2" s="6"/>
      <c r="H2" s="6"/>
      <c r="I2" s="6"/>
      <c r="J2" s="6"/>
    </row>
    <row r="4" spans="1:10">
      <c r="A4" s="7" t="s">
        <v>2</v>
      </c>
      <c r="B4" s="6"/>
      <c r="C4" s="6"/>
      <c r="D4" s="7" t="s">
        <v>3</v>
      </c>
      <c r="E4" s="6"/>
      <c r="F4" s="6"/>
      <c r="G4" s="6"/>
      <c r="H4" s="6"/>
      <c r="I4" s="6"/>
      <c r="J4" s="6"/>
    </row>
    <row r="5" spans="1:10" ht="30">
      <c r="A5" s="1" t="s">
        <v>4</v>
      </c>
      <c r="B5" s="1">
        <f>COUNTA(A13:A23)</f>
        <v>11</v>
      </c>
      <c r="D5" s="2" t="s">
        <v>5</v>
      </c>
    </row>
    <row r="6" spans="1:10" ht="15">
      <c r="A6" s="1" t="s">
        <v>6</v>
      </c>
      <c r="B6" s="1">
        <f>COUNTIF(G13:G23,"OK")</f>
        <v>8</v>
      </c>
      <c r="D6" s="2" t="s">
        <v>7</v>
      </c>
    </row>
    <row r="7" spans="1:10" ht="30">
      <c r="A7" s="1" t="s">
        <v>8</v>
      </c>
      <c r="B7" s="1">
        <f>COUNTIF(G13:G23,"NG")</f>
        <v>0</v>
      </c>
      <c r="D7" s="2" t="s">
        <v>9</v>
      </c>
    </row>
    <row r="8" spans="1:10" ht="30">
      <c r="A8" s="1" t="s">
        <v>10</v>
      </c>
      <c r="B8" s="1">
        <f>COUNTIF(G13:G23,"保留")</f>
        <v>0</v>
      </c>
      <c r="D8" s="2" t="s">
        <v>11</v>
      </c>
    </row>
    <row r="9" spans="1:10" ht="30">
      <c r="A9" s="1" t="s">
        <v>12</v>
      </c>
      <c r="B9" s="1">
        <f>COUNTBLANK(G13:G23)</f>
        <v>3</v>
      </c>
      <c r="D9" s="2" t="s">
        <v>13</v>
      </c>
    </row>
    <row r="11" spans="1:10">
      <c r="A11" s="9" t="s">
        <v>14</v>
      </c>
      <c r="B11" s="6"/>
      <c r="C11" s="6"/>
      <c r="D11" s="6"/>
      <c r="E11" s="6"/>
      <c r="F11" s="6"/>
      <c r="G11" s="6"/>
      <c r="H11" s="6"/>
      <c r="I11" s="6"/>
      <c r="J11" s="6"/>
    </row>
    <row r="12" spans="1:10" ht="15">
      <c r="A12" s="3" t="s">
        <v>15</v>
      </c>
      <c r="B12" s="3" t="s">
        <v>16</v>
      </c>
      <c r="C12" s="3" t="s">
        <v>17</v>
      </c>
      <c r="D12" s="3" t="s">
        <v>18</v>
      </c>
      <c r="E12" s="3" t="s">
        <v>19</v>
      </c>
      <c r="F12" s="3" t="s">
        <v>20</v>
      </c>
      <c r="G12" s="3" t="s">
        <v>21</v>
      </c>
      <c r="H12" s="3" t="s">
        <v>22</v>
      </c>
      <c r="I12" s="3" t="s">
        <v>23</v>
      </c>
      <c r="J12" s="3" t="s">
        <v>24</v>
      </c>
    </row>
    <row r="13" spans="1:10" ht="60">
      <c r="A13" s="1">
        <v>1</v>
      </c>
      <c r="B13" s="2" t="s">
        <v>25</v>
      </c>
      <c r="C13" s="2" t="s">
        <v>26</v>
      </c>
      <c r="D13" s="2" t="s">
        <v>27</v>
      </c>
      <c r="E13" s="4" t="s">
        <v>28</v>
      </c>
      <c r="F13" s="2" t="s">
        <v>29</v>
      </c>
      <c r="G13" s="1" t="s">
        <v>112</v>
      </c>
      <c r="H13" s="2"/>
      <c r="I13" s="1" t="s">
        <v>30</v>
      </c>
      <c r="J13" s="2" t="s">
        <v>31</v>
      </c>
    </row>
    <row r="14" spans="1:10" ht="60">
      <c r="A14" s="1">
        <v>2</v>
      </c>
      <c r="B14" s="2" t="s">
        <v>25</v>
      </c>
      <c r="C14" s="2" t="s">
        <v>32</v>
      </c>
      <c r="D14" s="2" t="s">
        <v>27</v>
      </c>
      <c r="E14" s="4" t="s">
        <v>33</v>
      </c>
      <c r="F14" s="2" t="s">
        <v>34</v>
      </c>
      <c r="G14" s="1" t="s">
        <v>6</v>
      </c>
      <c r="H14" s="2"/>
      <c r="I14" s="1" t="s">
        <v>30</v>
      </c>
      <c r="J14" s="2" t="s">
        <v>31</v>
      </c>
    </row>
    <row r="15" spans="1:10" ht="120">
      <c r="A15" s="1">
        <v>3</v>
      </c>
      <c r="B15" s="2" t="s">
        <v>35</v>
      </c>
      <c r="C15" s="2" t="s">
        <v>36</v>
      </c>
      <c r="D15" s="2" t="s">
        <v>37</v>
      </c>
      <c r="E15" s="4" t="s">
        <v>38</v>
      </c>
      <c r="F15" s="4" t="s">
        <v>39</v>
      </c>
      <c r="G15" s="1" t="s">
        <v>6</v>
      </c>
      <c r="H15" s="2"/>
      <c r="I15" s="1" t="s">
        <v>30</v>
      </c>
      <c r="J15" s="2" t="s">
        <v>40</v>
      </c>
    </row>
    <row r="16" spans="1:10" ht="75">
      <c r="A16" s="1">
        <v>4</v>
      </c>
      <c r="B16" s="2" t="s">
        <v>41</v>
      </c>
      <c r="C16" s="2" t="s">
        <v>42</v>
      </c>
      <c r="D16" s="2" t="s">
        <v>43</v>
      </c>
      <c r="E16" s="4" t="s">
        <v>44</v>
      </c>
      <c r="F16" s="2" t="s">
        <v>45</v>
      </c>
      <c r="G16" s="1" t="s">
        <v>6</v>
      </c>
      <c r="H16" s="2"/>
      <c r="I16" s="1" t="s">
        <v>30</v>
      </c>
      <c r="J16" s="2" t="s">
        <v>46</v>
      </c>
    </row>
    <row r="17" spans="1:10" ht="135">
      <c r="A17" s="1">
        <v>5</v>
      </c>
      <c r="B17" s="2" t="s">
        <v>47</v>
      </c>
      <c r="C17" s="2" t="s">
        <v>48</v>
      </c>
      <c r="D17" s="2" t="s">
        <v>49</v>
      </c>
      <c r="E17" s="4" t="s">
        <v>50</v>
      </c>
      <c r="F17" s="4" t="s">
        <v>51</v>
      </c>
      <c r="G17" s="1"/>
      <c r="H17" s="2"/>
      <c r="I17" s="1" t="s">
        <v>52</v>
      </c>
      <c r="J17" s="2" t="s">
        <v>53</v>
      </c>
    </row>
    <row r="18" spans="1:10" ht="120">
      <c r="A18" s="1">
        <v>6</v>
      </c>
      <c r="B18" s="2" t="s">
        <v>54</v>
      </c>
      <c r="C18" s="2" t="s">
        <v>55</v>
      </c>
      <c r="D18" s="2" t="s">
        <v>56</v>
      </c>
      <c r="E18" s="4" t="s">
        <v>57</v>
      </c>
      <c r="F18" s="4" t="s">
        <v>58</v>
      </c>
      <c r="G18" s="1"/>
      <c r="H18" s="2"/>
      <c r="I18" s="1" t="s">
        <v>10</v>
      </c>
      <c r="J18" s="2" t="s">
        <v>59</v>
      </c>
    </row>
    <row r="19" spans="1:10" ht="90">
      <c r="A19" s="1">
        <v>7</v>
      </c>
      <c r="B19" s="2" t="s">
        <v>60</v>
      </c>
      <c r="C19" s="2" t="s">
        <v>61</v>
      </c>
      <c r="D19" s="2" t="s">
        <v>62</v>
      </c>
      <c r="E19" s="4" t="s">
        <v>63</v>
      </c>
      <c r="F19" s="2" t="s">
        <v>64</v>
      </c>
      <c r="G19" s="1" t="s">
        <v>6</v>
      </c>
      <c r="H19" s="2"/>
      <c r="I19" s="1" t="s">
        <v>30</v>
      </c>
      <c r="J19" s="2" t="s">
        <v>65</v>
      </c>
    </row>
    <row r="20" spans="1:10" ht="90">
      <c r="A20" s="1">
        <v>8</v>
      </c>
      <c r="B20" s="2" t="s">
        <v>66</v>
      </c>
      <c r="C20" s="2" t="s">
        <v>67</v>
      </c>
      <c r="D20" s="2" t="s">
        <v>68</v>
      </c>
      <c r="E20" s="4" t="s">
        <v>69</v>
      </c>
      <c r="F20" s="2" t="s">
        <v>70</v>
      </c>
      <c r="G20" s="1" t="s">
        <v>6</v>
      </c>
      <c r="H20" s="2"/>
      <c r="I20" s="1" t="s">
        <v>30</v>
      </c>
      <c r="J20" s="2" t="s">
        <v>71</v>
      </c>
    </row>
    <row r="21" spans="1:10" ht="105">
      <c r="A21" s="1">
        <v>9</v>
      </c>
      <c r="B21" s="2" t="s">
        <v>72</v>
      </c>
      <c r="C21" s="2" t="s">
        <v>73</v>
      </c>
      <c r="D21" s="2" t="s">
        <v>74</v>
      </c>
      <c r="E21" s="4" t="s">
        <v>75</v>
      </c>
      <c r="F21" s="4" t="s">
        <v>76</v>
      </c>
      <c r="G21" s="1" t="s">
        <v>6</v>
      </c>
      <c r="H21" s="2"/>
      <c r="I21" s="1" t="s">
        <v>52</v>
      </c>
      <c r="J21" s="2" t="s">
        <v>77</v>
      </c>
    </row>
    <row r="22" spans="1:10" ht="90">
      <c r="A22" s="1">
        <v>10</v>
      </c>
      <c r="B22" s="2" t="s">
        <v>78</v>
      </c>
      <c r="C22" s="2" t="s">
        <v>79</v>
      </c>
      <c r="D22" s="2" t="s">
        <v>80</v>
      </c>
      <c r="E22" s="4" t="s">
        <v>81</v>
      </c>
      <c r="F22" s="4" t="s">
        <v>82</v>
      </c>
      <c r="G22" s="1" t="s">
        <v>6</v>
      </c>
      <c r="H22" s="2"/>
      <c r="I22" s="1" t="s">
        <v>30</v>
      </c>
      <c r="J22" s="2" t="s">
        <v>83</v>
      </c>
    </row>
    <row r="23" spans="1:10" ht="105">
      <c r="A23" s="1">
        <v>11</v>
      </c>
      <c r="B23" s="2" t="s">
        <v>25</v>
      </c>
      <c r="C23" s="2" t="s">
        <v>84</v>
      </c>
      <c r="D23" s="2" t="s">
        <v>85</v>
      </c>
      <c r="E23" s="4" t="s">
        <v>86</v>
      </c>
      <c r="F23" s="4" t="s">
        <v>87</v>
      </c>
      <c r="G23" s="1"/>
      <c r="H23" s="2"/>
      <c r="I23" s="1" t="s">
        <v>30</v>
      </c>
      <c r="J23" s="2" t="s">
        <v>88</v>
      </c>
    </row>
  </sheetData>
  <autoFilter ref="A12:J23" xr:uid="{00000000-0001-0000-0000-000000000000}"/>
  <mergeCells count="5">
    <mergeCell ref="A1:J1"/>
    <mergeCell ref="D4:J4"/>
    <mergeCell ref="A2:J2"/>
    <mergeCell ref="A4:C4"/>
    <mergeCell ref="A11:J11"/>
  </mergeCells>
  <phoneticPr fontId="4"/>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heetViews>
  <sheetFormatPr baseColWidth="10" defaultColWidth="8.83203125" defaultRowHeight="14"/>
  <cols>
    <col min="1" max="1" width="20" customWidth="1"/>
    <col min="2" max="2" width="36" customWidth="1"/>
    <col min="3" max="3" width="28" customWidth="1"/>
  </cols>
  <sheetData>
    <row r="1" spans="1:3">
      <c r="A1" s="5" t="s">
        <v>89</v>
      </c>
      <c r="B1" s="6"/>
      <c r="C1" s="6"/>
    </row>
    <row r="3" spans="1:3" ht="15">
      <c r="A3" s="3" t="s">
        <v>90</v>
      </c>
      <c r="B3" s="3" t="s">
        <v>91</v>
      </c>
      <c r="C3" s="3" t="s">
        <v>22</v>
      </c>
    </row>
    <row r="4" spans="1:3" ht="15">
      <c r="A4" s="2" t="s">
        <v>92</v>
      </c>
      <c r="B4" s="2" t="s">
        <v>93</v>
      </c>
      <c r="C4" s="2" t="s">
        <v>94</v>
      </c>
    </row>
    <row r="5" spans="1:3" ht="15">
      <c r="A5" s="2" t="s">
        <v>95</v>
      </c>
      <c r="B5" s="2" t="s">
        <v>96</v>
      </c>
      <c r="C5" s="2" t="s">
        <v>97</v>
      </c>
    </row>
    <row r="6" spans="1:3" ht="15">
      <c r="A6" s="2" t="s">
        <v>98</v>
      </c>
      <c r="B6" s="2" t="s">
        <v>99</v>
      </c>
      <c r="C6" s="2" t="s">
        <v>100</v>
      </c>
    </row>
    <row r="7" spans="1:3" ht="15">
      <c r="A7" s="2" t="s">
        <v>101</v>
      </c>
      <c r="B7" s="2" t="s">
        <v>102</v>
      </c>
      <c r="C7" s="2" t="s">
        <v>103</v>
      </c>
    </row>
    <row r="8" spans="1:3" ht="15">
      <c r="A8" s="2" t="s">
        <v>104</v>
      </c>
      <c r="B8" s="2" t="s">
        <v>105</v>
      </c>
      <c r="C8" s="2" t="s">
        <v>106</v>
      </c>
    </row>
    <row r="9" spans="1:3" ht="15">
      <c r="A9" s="2" t="s">
        <v>107</v>
      </c>
      <c r="B9" s="2" t="s">
        <v>108</v>
      </c>
      <c r="C9" s="2" t="s">
        <v>109</v>
      </c>
    </row>
    <row r="10" spans="1:3" ht="15">
      <c r="A10" s="2" t="s">
        <v>72</v>
      </c>
      <c r="B10" s="2" t="s">
        <v>110</v>
      </c>
      <c r="C10" s="2" t="s">
        <v>111</v>
      </c>
    </row>
  </sheetData>
  <mergeCells count="1">
    <mergeCell ref="A1:C1"/>
  </mergeCells>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5.9テストケース</vt:lpstr>
      <vt:lpstr>入力例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佐伯 将伍</cp:lastModifiedBy>
  <dcterms:created xsi:type="dcterms:W3CDTF">2026-04-07T05:49:58Z</dcterms:created>
  <dcterms:modified xsi:type="dcterms:W3CDTF">2026-04-07T11:21:27Z</dcterms:modified>
</cp:coreProperties>
</file>