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mc:AlternateContent xmlns:mc="http://schemas.openxmlformats.org/markup-compatibility/2006">
    <mc:Choice Requires="x15">
      <x15ac:absPath xmlns:x15ac="http://schemas.microsoft.com/office/spreadsheetml/2010/11/ac" url="/Users/apple/Documents/projects/task-manager-app/docs/01_設計/"/>
    </mc:Choice>
  </mc:AlternateContent>
  <xr:revisionPtr revIDLastSave="0" documentId="13_ncr:1_{D6359289-490A-6D4C-8990-B81010471124}" xr6:coauthVersionLast="47" xr6:coauthVersionMax="47" xr10:uidLastSave="{00000000-0000-0000-0000-000000000000}"/>
  <bookViews>
    <workbookView xWindow="-20540" yWindow="-23500" windowWidth="38400" windowHeight="23500" xr2:uid="{00000000-000D-0000-FFFF-FFFF00000000}"/>
  </bookViews>
  <sheets>
    <sheet name="Mismatch一覧" sheetId="4" r:id="rId1"/>
    <sheet name="集計" sheetId="2" r:id="rId2"/>
    <sheet name="使い方"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6" i="2" l="1"/>
  <c r="B6" i="2"/>
  <c r="L5" i="2"/>
  <c r="I5" i="2"/>
  <c r="E5" i="2"/>
  <c r="B5" i="2"/>
  <c r="L4" i="2"/>
  <c r="I4" i="2"/>
  <c r="E4" i="2"/>
  <c r="B4" i="2"/>
  <c r="L3" i="2"/>
  <c r="I3" i="2"/>
  <c r="E3" i="2"/>
  <c r="B3" i="2"/>
</calcChain>
</file>

<file path=xl/sharedStrings.xml><?xml version="1.0" encoding="utf-8"?>
<sst xmlns="http://schemas.openxmlformats.org/spreadsheetml/2006/main" count="1077" uniqueCount="710">
  <si>
    <t>仕様書セクション</t>
  </si>
  <si>
    <t>機能/画面</t>
  </si>
  <si>
    <t>期待仕様(要約)</t>
  </si>
  <si>
    <t>実装の挙動(要約)</t>
  </si>
  <si>
    <t>不一致内容</t>
  </si>
  <si>
    <t>不一致種別</t>
  </si>
  <si>
    <t>影響度(P0-P3)</t>
  </si>
  <si>
    <t>対象(Backend/Frontend)</t>
  </si>
  <si>
    <t>該当コード(ファイル:行/関数等)</t>
  </si>
  <si>
    <t>再現手順/条件</t>
  </si>
  <si>
    <t>メモ</t>
  </si>
  <si>
    <t>仕様書参照(URL/ページ等)</t>
  </si>
  <si>
    <t>確認日</t>
  </si>
  <si>
    <t>対応状況</t>
  </si>
  <si>
    <t>推奨方針</t>
  </si>
  <si>
    <t>判断理由</t>
  </si>
  <si>
    <t>推奨優先度</t>
  </si>
  <si>
    <t>BASIC-001</t>
  </si>
  <si>
    <t>9. 権限仕様</t>
  </si>
  <si>
    <t>タスク一覧閲覧</t>
  </si>
  <si>
    <t>ログインユーザーはタスク一覧を閲覧できる。</t>
  </si>
  <si>
    <t>TaskService.getTasks() は currentUserId を使って searchAccessible() を実行し、作成者または担当者のタスクだけを返す。</t>
  </si>
  <si>
    <t>仕様上はログイン済みであれば一覧閲覧できる読みに見えるが、実装は『自分が作成したタスク または 自分が担当のタスク』に閲覧対象が限定されている。</t>
  </si>
  <si>
    <t>権限/業務ルール</t>
  </si>
  <si>
    <t>P1</t>
  </si>
  <si>
    <t>Backend</t>
  </si>
  <si>
    <t>backend/src/main/java/com/example/task/service/TaskService.java:getTasks(), canViewTask()</t>
  </si>
  <si>
    <t>ユーザーAでログインし、ユーザーBが作成・Aが未担当のタスクを用意して一覧取得すると表示されない。</t>
  </si>
  <si>
    <t>仕様を『全件閲覧可』にするのか『関係者のみ閲覧可』にするのか要整理。</t>
  </si>
  <si>
    <t>02_基本仕様書.xlsx / 9. 権限仕様 / ログインユーザー / タスク一覧閲覧</t>
  </si>
  <si>
    <t>2026-04-11</t>
  </si>
  <si>
    <t>未対応</t>
  </si>
  <si>
    <t>仕様書修正</t>
  </si>
  <si>
    <t>現行実装と後続の認可設計の方向が「関係者のみ閲覧」に寄っており、基本仕様書の記載が粗いため。</t>
  </si>
  <si>
    <t>高</t>
  </si>
  <si>
    <t>BASIC-002</t>
  </si>
  <si>
    <t>タスク編集</t>
  </si>
  <si>
    <t>ログインユーザーはタスク編集できる。</t>
  </si>
  <si>
    <t>TaskService.updateTask() は authorizeTaskUpdate() → canUpdateTask() → canViewTask() で権限制御し、作成者または担当者しか更新できない。</t>
  </si>
  <si>
    <t>仕様上はログイン済みであれば編集可能に見えるが、実装は『作成者または担当者のみ更新可』に制限されている。</t>
  </si>
  <si>
    <t>backend/src/main/java/com/example/task/service/TaskService.java:updateTask(), authorizeTaskUpdate(), canUpdateTask()</t>
  </si>
  <si>
    <t>ユーザーAでログインし、ユーザーBが作成・Aが未担当のタスクに対して更新APIを実行すると権限エラーになる。</t>
  </si>
  <si>
    <t>一覧閲覧制御と合わせて、タスク単位の権限仕様を明文化した方がよい。</t>
  </si>
  <si>
    <t>02_基本仕様書.xlsx / 9. 権限仕様 / ログインユーザー / タスク編集</t>
  </si>
  <si>
    <t>更新権限は実装・認可設計とも所有者条件ベースで整合しており、基本仕様書の記載を具体化する方が自然。</t>
  </si>
  <si>
    <t>BASIC-003</t>
  </si>
  <si>
    <t>タスク削除</t>
  </si>
  <si>
    <t>ログインユーザーはタスク削除できる。</t>
  </si>
  <si>
    <t>TaskService.deleteTask() は authorizeTaskDelete() → canDeleteTask() で判定し、作成者本人のみ削除可能。</t>
  </si>
  <si>
    <t>仕様上はログイン済みであれば削除可能に見えるが、実装は『作成者のみ削除可』に制限されている。</t>
  </si>
  <si>
    <t>backend/src/main/java/com/example/task/service/TaskService.java:deleteTask(), authorizeTaskDelete(), canDeleteTask()</t>
  </si>
  <si>
    <t>ユーザーAでログインし、ユーザーBが作成したタスクの削除APIを実行すると権限エラーになる。</t>
  </si>
  <si>
    <t>編集権限よりもさらに厳しい削除権限になっている。</t>
  </si>
  <si>
    <t>02_基本仕様書.xlsx / 9. 権限仕様 / ログインユーザー / タスク削除</t>
  </si>
  <si>
    <t>削除を作成者限定とする実装は一貫しており、MVP段階では仕様書側の明文化で揃えるのが妥当。</t>
  </si>
  <si>
    <t>BASIC-004</t>
  </si>
  <si>
    <t>11. 技術構成（想定）</t>
  </si>
  <si>
    <t>フロントエンド技術構成</t>
  </si>
  <si>
    <t>フロントエンドは React / Vite / Tailwind CSS を利用する想定。</t>
  </si>
  <si>
    <t>package.json に tailwindcss / postcss / autoprefixer の依存がなく、main.tsx / App.tsx では index.css / App.css を直接読み込む構成になっている。</t>
  </si>
  <si>
    <t>仕様書の技術構成に Tailwind CSS が記載されている一方、実装は通常の CSS ファイルベースで構築されている。</t>
  </si>
  <si>
    <t>技術構成</t>
  </si>
  <si>
    <t>P3</t>
  </si>
  <si>
    <t>Frontend</t>
  </si>
  <si>
    <t>frontend/package.json, frontend/src/main.tsx, frontend/src/App.tsx</t>
  </si>
  <si>
    <t>frontend/package.json を確認し、Tailwind関連依存が存在しないことを確認する。</t>
  </si>
  <si>
    <t>仕様を直すか、実装を Tailwind ベースへ寄せるか判断が必要。</t>
  </si>
  <si>
    <t>02_基本仕様書.xlsx / 11. 技術構成（想定） / フロントエンド</t>
  </si>
  <si>
    <t>技術スタックの事実関係の差分であり、実装をTailwindへ寄せる必然性は低い。</t>
  </si>
  <si>
    <t>低</t>
  </si>
  <si>
    <t>BASIC-005</t>
  </si>
  <si>
    <t>5. 機能一覧 / 12. 今回の開発範囲</t>
  </si>
  <si>
    <t>担当者選択・ユーザー一覧取得</t>
  </si>
  <si>
    <t>基本仕様書では MVP 対象として『ユーザー登録 / ログイン / タスクCRUD』が中心に記載されている。</t>
  </si>
  <si>
    <t>実装ではタスク作成・編集フォームに担当者選択UIがあり、候補取得のために /api/users API も実装されている。</t>
  </si>
  <si>
    <t>MVP仕様には担当者候補取得APIやユーザー一覧依存が明記されておらず、実装の前提機能が仕様書に十分反映されていない。</t>
  </si>
  <si>
    <t>仕様記載不足</t>
  </si>
  <si>
    <t>P2</t>
  </si>
  <si>
    <t>両方</t>
  </si>
  <si>
    <t>frontend/src/components/TaskForm.tsx, frontend/src/lib/userApi.ts, backend/src/main/java/com/example/task/controller/UserController.java</t>
  </si>
  <si>
    <t>タスク作成/編集画面を開くと『担当者』選択欄が表示され、画面初期表示時に /api/users が呼ばれる。</t>
  </si>
  <si>
    <t>tasks テーブルに assigned_user_id はあるため、仕様から完全に外れてはいないが、API/画面要件としては明文化不足。</t>
  </si>
  <si>
    <t>02_基本仕様書.xlsx / 5.1 MVP対象機能, 8.2 tasks テーブル, 12. 今回の開発範囲</t>
  </si>
  <si>
    <t>担当者候補取得は現行機能を成立させる前提なので、仕様書へ補足した方が整合しやすい。</t>
  </si>
  <si>
    <t>中</t>
  </si>
  <si>
    <t>SCREEN-001</t>
  </si>
  <si>
    <t>共通レイアウト / 9. 共通UIルール</t>
  </si>
  <si>
    <t>必須項目の表示</t>
  </si>
  <si>
    <t>フォーム画面では必須項目に * を付与する。</t>
  </si>
  <si>
    <t>TaskForm ではタイトル・ステータス・優先度など必須項目のラベルに必須マークを表示していない。</t>
  </si>
  <si>
    <t>共通UIルールでは必須項目に * を付ける想定だが、タスク作成/編集フォームの必須項目表示が未対応。</t>
  </si>
  <si>
    <t>UI/表示</t>
  </si>
  <si>
    <t>frontend/src/components/TaskForm.tsx</t>
  </si>
  <si>
    <t>タスク作成画面またはタスク編集画面を開き、タイトル・ステータス・優先度ラベルを確認する。</t>
  </si>
  <si>
    <t>新規登録画面は必須マークありのため、画面間で表記ゆれがある。</t>
  </si>
  <si>
    <t>03_画面設計書.xlsx / 共通レイアウト / 9.4 フォーム画面ルール</t>
  </si>
  <si>
    <t>実装修正</t>
  </si>
  <si>
    <t>必須マークは画面ルールとして明確で、修正コストも低いため実装追従が妥当。</t>
  </si>
  <si>
    <t>SCREEN-002</t>
  </si>
  <si>
    <t>ログイン画面 / 5. バリデーション</t>
  </si>
  <si>
    <t>認証失敗メッセージ</t>
  </si>
  <si>
    <t>認証失敗時は「メールアドレスまたはパスワードが正しくありません」を表示する。</t>
  </si>
  <si>
    <t>ログイン失敗時のAPIエラーは ErrorCode.AUTH_002 の既定メッセージ「認証に失敗しました」が返り、フロントもその文言を表示する。</t>
  </si>
  <si>
    <t>画面設計書の認証失敗メッセージと、実装で表示されるエラーメッセージ文言が一致していない。</t>
  </si>
  <si>
    <t>文言/メッセージ</t>
  </si>
  <si>
    <t>backend/src/main/java/com/example/task/exception/ErrorCode.java, backend/src/main/java/com/example/task/exception/GlobalExceptionHandler.java, frontend/src/lib/apiError.ts</t>
  </si>
  <si>
    <t>誤ったメールアドレスまたはパスワードでログインし、表示メッセージを確認する。</t>
  </si>
  <si>
    <t>ユーザー向け文言を仕様に寄せるか、仕様書側を実装文言へ合わせるか要判断。</t>
  </si>
  <si>
    <t>03_画面設計書.xlsx / ログイン画面 / 5. バリデーション</t>
  </si>
  <si>
    <t>認証失敗文言はユーザー向け表示品質に直結し、画面設計書に合わせて統一した方がよい。</t>
  </si>
  <si>
    <t>SCREEN-003</t>
  </si>
  <si>
    <t>新規登録画面 / 5. バリデーション</t>
  </si>
  <si>
    <t>パスワード未入力時の前段バリデーション</t>
  </si>
  <si>
    <t>新規登録画面ではパスワード未入力と、桁数不足を区別して扱う。</t>
  </si>
  <si>
    <t>useAuthState.validateRegisterForm() は password.length &lt; 8 のみで判定しており、未入力でも「パスワードは8文字以上で入力してください。」を表示する。</t>
  </si>
  <si>
    <t>画面設計書では『パスワード未入力』と『文字数条件』が別条件だが、実装のフロント側バリデーションでは未入力専用メッセージにならない。</t>
  </si>
  <si>
    <t>バリデーション</t>
  </si>
  <si>
    <t>frontend/src/hooks/useAuthState.ts:validateRegisterForm()</t>
  </si>
  <si>
    <t>新規登録画面でパスワードを空欄のまま送信し、表示エラーを確認する。</t>
  </si>
  <si>
    <t>バックエンドDTOでは NotBlank も定義されているため、前段バリデーションとの差がある。</t>
  </si>
  <si>
    <t>03_画面設計書.xlsx / 新規登録画面 / 5. バリデーション</t>
  </si>
  <si>
    <t>入力エラー条件の出し分けはUXの問題であり、設計意図も明確なため実装側で揃える。</t>
  </si>
  <si>
    <t>SCREEN-004</t>
  </si>
  <si>
    <t>タスク一覧画面 / 7. 入力項目</t>
  </si>
  <si>
    <t>MVPでの入力項目有無</t>
  </si>
  <si>
    <t>MVPでは入力項目なし。ステータス絞り込み・優先度絞り込みなどは将来拡張。</t>
  </si>
  <si>
    <t>TaskListPage にはステータス/優先度のセレクトボックスが表示され、useTaskState でフィルタ処理も実装されている。</t>
  </si>
  <si>
    <t>画面設計書ではMVP時点で入力項目なしだが、実装ではフィルターUIと絞り込み機能が追加されている。</t>
  </si>
  <si>
    <t>機能過不足/UI</t>
  </si>
  <si>
    <t>frontend/src/pages/TaskListPage.tsx, frontend/src/hooks/useTaskState.ts</t>
  </si>
  <si>
    <t>タスク一覧画面を開くと、ステータス・優先度のフィルターが表示される。</t>
  </si>
  <si>
    <t>追加実装として許容するなら、画面設計書側へ反映した方がよい。</t>
  </si>
  <si>
    <t>03_画面設計書.xlsx / タスク一覧画面 / 7. 入力項目</t>
  </si>
  <si>
    <t>追加フィルターは非破壊的な機能拡張であり、現実装を補足する形で仕様更新する方が合理的。</t>
  </si>
  <si>
    <t>SCREEN-005</t>
  </si>
  <si>
    <t>タスク一覧画面 / 5. 一覧テーブル仕様 / 8. ボタン・アクション</t>
  </si>
  <si>
    <t>詳細遷移導線</t>
  </si>
  <si>
    <t>タイトルクリックまたは一覧行クリックで詳細画面へ遷移する。</t>
  </si>
  <si>
    <t>実装では行全体やタイトルにはクリックイベントがなく、各行の『詳細』ボタン押下時のみ詳細画面へ遷移する。</t>
  </si>
  <si>
    <t>画面設計書は『行クリックで詳細へ遷移』前提だが、実装は『詳細ボタン押下』方式になっている。</t>
  </si>
  <si>
    <t>UI/操作導線</t>
  </si>
  <si>
    <t>frontend/src/pages/TaskListPage.tsx</t>
  </si>
  <si>
    <t>タスク一覧画面で、行本体やタイトル部分をクリックしても遷移せず、『詳細』ボタン押下でのみ遷移することを確認する。</t>
  </si>
  <si>
    <t>操作導線の差なので、仕様か実装のどちらかへ寄せる必要がある。</t>
  </si>
  <si>
    <t>03_画面設計書.xlsx / タスク一覧画面 / 5. 一覧テーブル仕様, 8. ボタン / アクション仕様, 9. イベント一覧</t>
  </si>
  <si>
    <t>行クリックか詳細ボタンかはUI方針差で、現行実装でも十分成立しているため仕様側調整が妥当。</t>
  </si>
  <si>
    <t>SCREEN-006</t>
  </si>
  <si>
    <t>タスク一覧画面 / 5. 一覧テーブル仕様</t>
  </si>
  <si>
    <t>一覧表示カラム</t>
  </si>
  <si>
    <t>MVPで最低限表示する列に『更新日時』を含める。</t>
  </si>
  <si>
    <t>実装の一覧テーブルは ID / タイトル / ステータス / 優先度 / 担当者 / 期限 / 操作 を表示しており、updatedAt 列は表示していない。</t>
  </si>
  <si>
    <t>画面設計書のMVP最低表示項目に含まれる『更新日時』が、実装の一覧画面には出ていない。</t>
  </si>
  <si>
    <t>UI/表示項目</t>
  </si>
  <si>
    <t>タスク一覧画面のヘッダー列と各行表示項目を確認する。</t>
  </si>
  <si>
    <t>逆に設計書では任意扱いの ID 列や操作列は実装に含まれている。</t>
  </si>
  <si>
    <t>03_画面設計書.xlsx / タスク一覧画面 / 5. 一覧テーブル仕様</t>
  </si>
  <si>
    <t>更新日時は一覧の有用情報で、設計書の最低表示項目にも入っているため実装追従を推奨。</t>
  </si>
  <si>
    <t>SCREEN-007</t>
  </si>
  <si>
    <t>タスク一覧画面 / 11. API連携仕様</t>
  </si>
  <si>
    <t>一覧APIレスポンス形式</t>
  </si>
  <si>
    <t>レスポンス例では担当者は assigneeName 文字列で返す。</t>
  </si>
  <si>
    <t>バックエンドの TaskSummaryResponse は assignedUser オブジェクトを返し、フロントは assignedUser または assignedUserName へ正規化して利用している。</t>
  </si>
  <si>
    <t>画面設計書のAPIレスポンス例と、実装済みAPI/フロント前提のレスポンス構造が一致していない。</t>
  </si>
  <si>
    <t>API仕様</t>
  </si>
  <si>
    <t>backend/src/main/java/com/example/task/dto/TaskSummaryResponse.java, frontend/src/lib/taskApi.ts</t>
  </si>
  <si>
    <t>GET /api/tasks のレスポンス項目を確認すると、仕様例の assigneeName ではなく assignedUser 構造で返る。</t>
  </si>
  <si>
    <t>画面仕様書のレスポンス例をAPI設計と合わせて見直した方がよい。</t>
  </si>
  <si>
    <t>03_画面設計書.xlsx / タスク一覧画面 / 11. API連携仕様</t>
  </si>
  <si>
    <t>APIレスポンス例は契約の参照元なので、実実装に合わせて仕様書を修正すべき。</t>
  </si>
  <si>
    <t>DB-001</t>
  </si>
  <si>
    <t>USERS / 2. カラム定義</t>
  </si>
  <si>
    <t>パスワード保持カラム</t>
  </si>
  <si>
    <t>users テーブルは password_hash カラムにハッシュ化済みパスワードを保持する。</t>
  </si>
  <si>
    <t>User エンティティは password フィールドを持つが、@Column(name="password_hash") の指定がなく、AuthService も user.password へ保存する前提で実装されている。</t>
  </si>
  <si>
    <t>DB設計書は password_hash カラム前提だが、実装の ORM マッピングは password カラム前提になっており、カラム名が一致していない。</t>
  </si>
  <si>
    <t>DB/ORMマッピング</t>
  </si>
  <si>
    <t>backend/src/main/java/com/example/task/entity/User.java, backend/src/main/java/com/example/task/service/AuthService.java</t>
  </si>
  <si>
    <t>DB設計書どおりに users.password_hash でテーブルを作成した状態でアプリを起動し、JPA マッピングや登録処理を確認する。</t>
  </si>
  <si>
    <t>設計に合わせるなら @Column(name="password_hash") を付与するか、DB設計書側の列名を password に合わせる必要がある。</t>
  </si>
  <si>
    <t>04_DB設計書.xlsx / USERS / 2. カラム定義 / password_hash</t>
  </si>
  <si>
    <t>保存値はハッシュ済みであり、DB設計の password_hash 命名へ寄せた方が意味が明確になる。</t>
  </si>
  <si>
    <t>DB-002</t>
  </si>
  <si>
    <t>TASKS / 2. カラム定義 / 4. リレーション</t>
  </si>
  <si>
    <t>team_id によるチーム紐付け</t>
  </si>
  <si>
    <t>tasks.team_id を nullable で持ち、将来的に teams と関連付ける設計になっている。</t>
  </si>
  <si>
    <t>Task エンティティ・TaskCreateRequest・TaskUpdateRequest・TaskResponse に team_id / teamId が存在せず、TaskService でもチーム紐付けを扱っていない。フロントも create/update 時に teamId: undefined を渡している。</t>
  </si>
  <si>
    <t>DB設計書では tasks.team_id を前提に teams との関連を持たせるが、実装はエンドツーエンドで team_id 未対応。</t>
  </si>
  <si>
    <t>DB/APIモデル</t>
  </si>
  <si>
    <t>backend/src/main/java/com/example/task/entity/Task.java, backend/src/main/java/com/example/task/dto/TaskCreateRequest.java, backend/src/main/java/com/example/task/service/TaskService.java, frontend/src/hooks/useTaskState.ts</t>
  </si>
  <si>
    <t>タスク作成・更新APIのリクエスト/レスポンス項目、および Task エンティティ定義を確認する。</t>
  </si>
  <si>
    <t>DB設計書上は将来拡張扱いなので、現行コードとの差分として管理するのが妥当。</t>
  </si>
  <si>
    <t>04_DB設計書.xlsx / TASKS / 2. カラム定義 / team_id, 4. リレーション</t>
  </si>
  <si>
    <t>team_id はチーム機能前提の将来拡張であり、現MVPに合わせて段階記載へ直す方がよい。</t>
  </si>
  <si>
    <t>DB-003</t>
  </si>
  <si>
    <t>TASKS / 2. カラム定義</t>
  </si>
  <si>
    <t>title の桁数上限</t>
  </si>
  <si>
    <t>tasks.title は varchar(100) で管理する。</t>
  </si>
  <si>
    <t>Task エンティティは @Column(nullable = false, length = 200) になっており、DB設計書の 100 桁と一致しない。なお、API入力バリデーションは @Size(max = 100) で 100 文字上限になっている。</t>
  </si>
  <si>
    <t>DB設計書と JPA エンティティのカラム長が不一致で、実装内部でも「ORMは200 / APIは100」というズレがある。</t>
  </si>
  <si>
    <t>DB/制約</t>
  </si>
  <si>
    <t>backend/src/main/java/com/example/task/entity/Task.java, backend/src/main/java/com/example/task/dto/TaskCreateRequest.java</t>
  </si>
  <si>
    <t>Task エンティティの @Column(length) と TaskCreateRequest の @Size を見比べる。</t>
  </si>
  <si>
    <t>DBを100に寄せるならエンティティも100へ統一した方がよい。</t>
  </si>
  <si>
    <t>04_DB設計書.xlsx / TASKS / 2. カラム定義 / title</t>
  </si>
  <si>
    <t>両方見直し</t>
  </si>
  <si>
    <t>DB・ORM・APIバリデーションで許容桁数が分裂しており、正解値を決めて双方を揃える必要がある。</t>
  </si>
  <si>
    <t>DB-004</t>
  </si>
  <si>
    <t>assigned_user_id の実装優先度</t>
  </si>
  <si>
    <t>assigned_user_id は「△」で、MVP後の追加実装候補として整理されている。</t>
  </si>
  <si>
    <t>実装では Task エンティティに assignedUser があり、TaskService で担当者解決を行い、フロントの作成/編集画面にも担当者選択UIと /api/users 取得処理がある。</t>
  </si>
  <si>
    <t>DB設計書では追加実装候補の位置づけだが、実コードでは担当者機能がすでに現行機能として実装されている。</t>
  </si>
  <si>
    <t>実装範囲/優先度</t>
  </si>
  <si>
    <t>backend/src/main/java/com/example/task/entity/Task.java, backend/src/main/java/com/example/task/service/TaskService.java, backend/src/main/java/com/example/task/controller/UserController.java, frontend/src/components/TaskForm.tsx</t>
  </si>
  <si>
    <t>タスク作成/編集画面で担当者選択欄が表示され、/api/users が呼ばれることを確認する。</t>
  </si>
  <si>
    <t>コードに合わせるなら DB設計書の MVP 区分や注記を更新した方がよい。</t>
  </si>
  <si>
    <t>04_DB設計書.xlsx / TASKS / 2. カラム定義 / assigned_user_id</t>
  </si>
  <si>
    <t>担当者機能はすでに現行実装に入っているため、DB設計書の優先度表現を更新すべき。</t>
  </si>
  <si>
    <t>DB-005</t>
  </si>
  <si>
    <t>ER概要 / TEAMS / TEAM_MEMBERS / COMMENTS / ATTACHMENTS</t>
  </si>
  <si>
    <t>将来拡張テーブル群の実装状況</t>
  </si>
  <si>
    <t>DB設計書では teams / team_members / comments / attachments を含む全体ERが定義されている。</t>
  </si>
  <si>
    <t>読み込めた実コードでは Team.java / Comment.java / Attachment.java など対応する主要エンティティを確認できず、現行実装は users / tasks 中心になっている。</t>
  </si>
  <si>
    <t>DB設計書は将来拡張を含む全体像を示している一方、現行コードはその一部しか実装されていない。設計書を「現行実装準拠」として使うと不一致になる。</t>
  </si>
  <si>
    <t>設計先行/未実装</t>
  </si>
  <si>
    <t>backend/src/main/java/com/example/task/entity/Team.java(未確認/404), backend/src/main/java/com/example/task/entity/Comment.java(未確認/404), backend/src/main/java/com/example/task/entity/Attachment.java(未確認/404)</t>
  </si>
  <si>
    <t>対応エンティティや CRUD 実装の有無を確認する。</t>
  </si>
  <si>
    <t>将来拡張を含む設計書としては妥当だが、現行実装との差分としては明示しておいた方がよい。</t>
  </si>
  <si>
    <t>04_DB設計書.xlsx / ER概要, TEAMS, TEAM_MEMBERS, COMMENTS, ATTACHMENTS</t>
  </si>
  <si>
    <t>将来拡張テーブルは全体構想としては妥当だが、現行実装範囲と区別して記載する必要がある。</t>
  </si>
  <si>
    <t>API-001</t>
  </si>
  <si>
    <t>共通仕様 / 共通エラーレスポンス</t>
  </si>
  <si>
    <t>errorCode表記（共通）</t>
  </si>
  <si>
    <t>共通エラーレスポンスの errorCode 例は「VAL-TASK-001」と記載されている。</t>
  </si>
  <si>
    <t>実装の ErrorCode は ERR-TASK-001 / ERR-AUTH-001 のように、すべて「ERR-」接頭辞付きで返却される。</t>
  </si>
  <si>
    <t>API設計書の errorCode サンプル表記が実レスポンスの命名規則と一致しておらず、クライアント実装やテスト観点で誤認の原因になる。</t>
  </si>
  <si>
    <t>API/IF</t>
  </si>
  <si>
    <t>backend/src/main/java/com/example/task/exception/ErrorCode.java, backend/src/main/java/com/example/task/exception/GlobalExceptionHandler.java</t>
  </si>
  <si>
    <t>/api/tasks に不正な status や必須不足で 400 を発生させ、errorCode を確認する。</t>
  </si>
  <si>
    <t>共通仕様の errorCode 例を ERR-TASK-001 形式へ統一した方がよい。</t>
  </si>
  <si>
    <t>05_API設計書.xlsx / 共通仕様 / 共通エラーレスポンス</t>
  </si>
  <si>
    <t>errorCode の命名規則は実装が唯一の契約源であり、仕様例を実装に合わせるべき。</t>
  </si>
  <si>
    <t>API-002</t>
  </si>
  <si>
    <t>認証API / ログイン / 補足</t>
  </si>
  <si>
    <t>認証系errorCode表記</t>
  </si>
  <si>
    <t>未認証・JWT不正・期限切れの返却コードは「AUTH-001 / AUTH-003 / AUTH-004」と記載されている。</t>
  </si>
  <si>
    <t>認証系の実レスポンスは ERR-AUTH-001 / ERR-AUTH-003 / ERR-AUTH-004 を返却する。</t>
  </si>
  <si>
    <t>認証APIの補足欄に記載された errorCode が実装と一致しておらず、コード値ベースの受入確認やフロント分岐条件に齟齬が出る。</t>
  </si>
  <si>
    <t>backend/src/main/java/com/example/task/security/CustomAuthenticationEntryPoint.java, backend/src/main/java/com/example/task/exception/ErrorCode.java</t>
  </si>
  <si>
    <t>Authorization ヘッダ未指定、改ざんJWT、期限切れJWTで保護APIを呼び、401レスポンスの errorCode を確認する。</t>
  </si>
  <si>
    <t>AUTH-xxx と ERR-AUTH-xxx が混在すると、仕様書・テストケース・実装コードの対応付けが難しくなる。</t>
  </si>
  <si>
    <t>05_API設計書.xlsx / 認証API / POST /api/auth/login / 補足</t>
  </si>
  <si>
    <t>認証APIの補足欄も同じく記載誤り側の修正で解消できる。</t>
  </si>
  <si>
    <t>API-003</t>
  </si>
  <si>
    <t>タスクAPI / GET /api/users / エラー</t>
  </si>
  <si>
    <t>担当者候補一覧取得の401メッセージ</t>
  </si>
  <si>
    <t>JWT期限切れ時のメッセージは「認証の有効期限が切れています。再度ログインしてください」と記載されている。</t>
  </si>
  <si>
    <t>期限切れJWT時は AUTH_004 の既定文言「セッションの有効期限が切れています」をレスポンス本文に設定して返却する。</t>
  </si>
  <si>
    <t>GET /api/users の期限切れ時メッセージが仕様書と一致していない。</t>
  </si>
  <si>
    <t>メッセージ/文言</t>
  </si>
  <si>
    <t>backend/src/main/java/com/example/task/security/CustomAuthenticationEntryPoint.java:commence(), backend/src/main/java/com/example/task/exception/ErrorCode.java:AUTH_004</t>
  </si>
  <si>
    <t>期限切れJWTで GET /api/users を実行し、401レスポンスの message を確認する。</t>
  </si>
  <si>
    <t>共通仕様の「JWT期限切れ」文言とは実装が一致しているため、GET /api/users 側の記載を共通仕様へ寄せるのが自然。</t>
  </si>
  <si>
    <t>05_API設計書.xlsx / タスクAPI / GET /api/users / エラー</t>
  </si>
  <si>
    <t>/api/users の401系メッセージは実装方針に沿っており、まずAPI仕様書の記載整合を優先したい。</t>
  </si>
  <si>
    <t>API-004</t>
  </si>
  <si>
    <t>API一覧 / タスクAPI / GET /api/tasks 備考</t>
  </si>
  <si>
    <t>タスク一覧の現行フロント利用状況</t>
  </si>
  <si>
    <t>API一覧では、status / priority / assignedUserId / keyword に対応し、現行フロントは取得後にクライアント側で絞り込みと記載されている。</t>
  </si>
  <si>
    <t>Backend は4条件のクエリに対応しているが、Frontend の一覧画面は status / priority のみUIを持ち、fetchTasks() も常に /api/tasks をパラメータなしで呼んでいる。assignedUserId / keyword のクライアント側絞り込みも未実装。</t>
  </si>
  <si>
    <t>API設計書の「現行フロントの絞り込み利用状況」が実装より広く書かれている。</t>
  </si>
  <si>
    <t>画面/API連携</t>
  </si>
  <si>
    <t>frontend/src/lib/taskApi.ts:fetchTasks(), frontend/src/pages/TaskListPage.tsx, frontend/src/hooks/useTaskState.ts</t>
  </si>
  <si>
    <t>タスク一覧画面を開き、フィルタUIと通信内容を確認すると status / priority 以外の条件は存在しない。</t>
  </si>
  <si>
    <t>仕様書を「現行フロントは status / priority のみクライアント側絞り込み」と修正するか、assignedUserId / keyword フィルタを画面へ追加するか要判断。</t>
  </si>
  <si>
    <t>05_API設計書.xlsx / API一覧 / タスク一覧取得, 05_API設計書.xlsx / タスクAPI / GET /api/tasks</t>
  </si>
  <si>
    <t>フロント利用状況は説明文の不整合であり、実装変更より記載修正の方が適切。</t>
  </si>
  <si>
    <t>DFD-001</t>
  </si>
  <si>
    <t>概要 / レベル1_MVP</t>
  </si>
  <si>
    <t>新規登録フロー</t>
  </si>
  <si>
    <t>MVP中心のデータフローは認証処理を『ログイン要求→ユーザー確認→認証結果/JWT返却』として整理している。</t>
  </si>
  <si>
    <t>実装には新規登録画面、POST /api/auth/register、AuthService.register() があり、ログインとは別にユーザー登録フローが存在する。</t>
  </si>
  <si>
    <t>データフロー図ではMVPの認証系フローが実質ログインのみで表現されているが、現行コードには新規登録処理も含まれており、DFDに主要フローが不足している。</t>
  </si>
  <si>
    <t>仕様記載不足/DFD不足</t>
  </si>
  <si>
    <t>frontend/src/pages/RegisterPage.tsx, frontend/src/hooks/useAuthState.ts, backend/src/main/java/com/example/task/controller/AuthController.java, backend/src/main/java/com/example/task/service/AuthService.java</t>
  </si>
  <si>
    <t>未ログイン状態で /signup を開き、登録送信で /api/auth/register が実行されることを確認する。</t>
  </si>
  <si>
    <t>現行実装準拠のDFDにするなら『ユーザー登録処理』をMVPまたは認証系補助フローとして追加した方がよい。</t>
  </si>
  <si>
    <t>08_データフロー図設計書.xlsx / 概要 / 対象範囲, レベル1_MVP / 認証処理</t>
  </si>
  <si>
    <t>新規登録は現行主要フローなので、データフロー図の追記で整合できる。</t>
  </si>
  <si>
    <t>DFD-002</t>
  </si>
  <si>
    <t>レベル1_MVP</t>
  </si>
  <si>
    <t>担当者候補取得フロー</t>
  </si>
  <si>
    <t>MVPの処理は『認証処理』『タスク取得処理』『タスク更新処理』で整理されている。</t>
  </si>
  <si>
    <t>実装ではタスク作成・編集画面の初期表示時に GET /api/users を呼び出して担当者候補を取得し、フォームの担当者セレクトを構成している。</t>
  </si>
  <si>
    <t>現行MVP実装ではタスクCRUDを成立させる補助フローとして『ユーザー一覧取得』が存在するが、DFDにはそのデータフローが記載されていない。</t>
  </si>
  <si>
    <t>frontend/src/hooks/useTaskState.ts:loadAssignableUsers(), frontend/src/lib/userApi.ts, backend/src/main/java/com/example/task/controller/UserController.java, backend/src/main/java/com/example/task/service/UserService.java</t>
  </si>
  <si>
    <t>ログイン後にタスク作成画面または編集画面を開き、/api/users が呼ばれることを確認する。</t>
  </si>
  <si>
    <t>既存の tasks.assigned_user_id 前提をDFDにも反映した方が、画面/API/DBの整合が取りやすい。</t>
  </si>
  <si>
    <t>08_データフロー図設計書.xlsx / レベル1_MVP / 処理一覧・データフロー一覧</t>
  </si>
  <si>
    <t>ユーザー一覧取得は現行フローの補助経路として明記すべきで、仕様図の補完が必要。</t>
  </si>
  <si>
    <t>DFD-003</t>
  </si>
  <si>
    <t>概要 / レベル0_全体図 / レベル1_拡張</t>
  </si>
  <si>
    <t>添付ファイル処理・S3連携</t>
  </si>
  <si>
    <t>概要および全体図では主なデータストアに『PostgreSQL、S3(添付ファイル)』を置き、添付ファイル本体はS3へ保存・取得する前提になっている。</t>
  </si>
  <si>
    <t>読み込めた現行コードでは、S3クライアント依存・設定・添付ファイルAPI・Attachmentエンティティ/メタ情報管理・アップロードUIを確認できない。</t>
  </si>
  <si>
    <t>DFDは添付ファイル処理とS3連携が存在する前提で記述されているが、現行実装にはその処理経路が存在せず、実装準拠資料としては不一致になっている。</t>
  </si>
  <si>
    <t>未実装/データフロー不一致</t>
  </si>
  <si>
    <t>backend/build.gradle, backend/src/main/resources/application.yml, frontend/src/pages/TaskDetailPage.tsx, backend/src/main/java/com/example/task/entity/Attachment.java(未確認/404)</t>
  </si>
  <si>
    <t>タスク詳細画面を確認しても添付UIがなく、バックエンド設定にもS3連携設定がないことを確認する。</t>
  </si>
  <si>
    <t>将来拡張として残すなら、図中に『未実装』または『将来構想』の注記を付けた方が誤解が少ない。</t>
  </si>
  <si>
    <t>08_データフロー図設計書.xlsx / 概要 / 主なデータストア, レベル0_全体図 No.4, レベル1_拡張 / 添付ファイル処理</t>
  </si>
  <si>
    <t>S3添付は将来構想としてはよいが、現行実装図としては段階分けが必要。</t>
  </si>
  <si>
    <t>DFD-004</t>
  </si>
  <si>
    <t>レベル1_拡張</t>
  </si>
  <si>
    <t>コメント処理フロー</t>
  </si>
  <si>
    <t>拡張DFDでは『コメント処理』として、投稿・編集・削除、コメントデータ更新、対象タスク参照の流れが定義されている。</t>
  </si>
  <si>
    <t>現行コードではコメントAPI・Commentエンティティ・コメント一覧/投稿UIを確認できず、TaskDetailPage にもコメント表示/投稿フォームは実装されていない。</t>
  </si>
  <si>
    <t>データフロー図ではコメント処理が具体的な実装済みフローのように描かれているが、現行実装には処理経路が存在しない。</t>
  </si>
  <si>
    <t>frontend/src/pages/TaskDetailPage.tsx, backend/src/main/java/com/example/task/entity/Comment.java(未確認/404)</t>
  </si>
  <si>
    <t>タスク詳細画面を開き、コメント一覧・投稿UIが存在しないことを確認する。バックエンドにもコメント系コントローラ/サービスが見当たらないことを確認する。</t>
  </si>
  <si>
    <t>拡張案としては妥当だが、実装準拠資料として使う場合は未実装注記が必要。</t>
  </si>
  <si>
    <t>08_データフロー図設計書.xlsx / レベル1_拡張 / コメント処理</t>
  </si>
  <si>
    <t>コメント系も同様に未実装のため、現行図からは切り分けて記載すべき。</t>
  </si>
  <si>
    <t>DFD-005</t>
  </si>
  <si>
    <t>レベル0_全体図</t>
  </si>
  <si>
    <t>全体像に含めるユーザー操作</t>
  </si>
  <si>
    <t>全体図ではユーザーからWebサービスへの入力として『ログイン情報、タスク入力、コメント入力、添付操作』を並列に記載している。</t>
  </si>
  <si>
    <t>現行フロントで確認できるユーザー操作は、ログイン、新規登録、タスク一覧/詳細/作成/編集/削除、担当者選択までで、コメント入力・添付操作は提供されていない。</t>
  </si>
  <si>
    <t>全体図が『現在のシステム全体像』として読むと、未実装のコメント/添付操作まで含んでおり、実装範囲の表現が広すぎる。</t>
  </si>
  <si>
    <t>実装範囲/表現</t>
  </si>
  <si>
    <t>frontend/src/pages/LoginPage.tsx, frontend/src/pages/RegisterPage.tsx, frontend/src/pages/TaskListPage.tsx, frontend/src/pages/TaskDetailPage.tsx, frontend/src/components/TaskForm.tsx</t>
  </si>
  <si>
    <t>画面を順に確認し、コメント入力欄や添付操作UIが存在しないことを確認する。</t>
  </si>
  <si>
    <t>レベル0に『将来拡張を含む全体像』などの注記があると不一致として受け取りにくくなる。</t>
  </si>
  <si>
    <t>08_データフロー図設計書.xlsx / レベル0_全体図 No.1</t>
  </si>
  <si>
    <t>全体図が現行範囲を広く見せ過ぎているため、凡例や段階区分を仕様側で整理したい。</t>
  </si>
  <si>
    <t>SEQ-001</t>
  </si>
  <si>
    <t>新規登録処理</t>
  </si>
  <si>
    <t>新規登録フローの責務分離</t>
  </si>
  <si>
    <t>シーケンス図では、ブラウザが AuthController に POST /api/auth/register を送り、その後 AuthController が UserService へ委譲し、UserService が入力値バリデーション・重複チェック・ハッシュ化・保存を行う。</t>
  </si>
  <si>
    <t>実装では AuthController は AuthService.register() を呼び出す。入力値チェックの主経路は RegisterRequest の Bean Validation と GlobalExceptionHandler で、重複チェックとハッシュ化・保存は AuthService が担当する。</t>
  </si>
  <si>
    <t>シーケンス図の責務分離が現行コードと一致しておらず、UserService 前提・Service内バリデーション前提になっている。</t>
  </si>
  <si>
    <t>責務分離/シーケンス不一致</t>
  </si>
  <si>
    <t>backend/src/main/java/com/example/task/controller/AuthController.java, backend/src/main/java/com/example/task/service/AuthService.java, backend/src/main/java/com/example/task/dto/auth/RegisterRequest.java, backend/src/main/java/com/example/task/exception/GlobalExceptionHandler.java</t>
  </si>
  <si>
    <t>新規登録APIのコードを確認すると、Controller から委譲される先は UserService ではなく AuthService である。バリデーションエラーは DTO + 例外ハンドラで処理される。</t>
  </si>
  <si>
    <t>設計資料を現行実装準拠にするなら、UserService を AuthService に修正し、入力値検証の位置も Controller境界/@Valid 側へ寄せて記載した方がよい。</t>
  </si>
  <si>
    <t>09_シーケンス図設計書.xlsx / 新規登録処理 No.3-12</t>
  </si>
  <si>
    <t>責務配置の説明が現行コードと異なるため、シーケンス図をコード準拠に直すべき。</t>
  </si>
  <si>
    <t>SEQ-002</t>
  </si>
  <si>
    <t>ログイン処理</t>
  </si>
  <si>
    <t>ログイン認証主体とJWT生成主体</t>
  </si>
  <si>
    <t>シーケンス図では、AuthController が Spring Security に認証要求し、Spring Security が UserRepository でユーザー検索・パスワード照合を行い、その後 AuthController が JWT を生成して返却する。</t>
  </si>
  <si>
    <t>実装では /api/auth/login は permitAll で、AuthController は AuthService.login() を呼ぶ。AuthService が UserRepository.findByEmail()、PasswordEncoder.matches()、JwtUtil.generateToken() を行ってレスポンスを構築する。</t>
  </si>
  <si>
    <t>ログイン処理の主体が設計書と実装で異なる。現行コードでは Spring Security の認証マネージャー経由ではなく、AuthService 主導の認証 + JWT発行になっている。</t>
  </si>
  <si>
    <t>認証方式/シーケンス不一致</t>
  </si>
  <si>
    <t>backend/src/main/java/com/example/task/controller/AuthController.java, backend/src/main/java/com/example/task/service/AuthService.java, backend/src/main/java/com/example/task/config/SecurityConfig.java</t>
  </si>
  <si>
    <t>ログインAPI実装を見ると AuthenticationManager.authenticate() は使っておらず、AuthService が直接認証処理を実装していることを確認できる。</t>
  </si>
  <si>
    <t>面接説明や設計レビューで齟齬が出やすい箇所なので、ログイン処理の主体は明示的に合わせた方がよい。</t>
  </si>
  <si>
    <t>09_シーケンス図設計書.xlsx / ログイン処理 No.4-10</t>
  </si>
  <si>
    <t>認証主体は現実装の方が明確で、認証マネージャー前提へ実装修正する必要性は低い。</t>
  </si>
  <si>
    <t>SEQ-003</t>
  </si>
  <si>
    <t>タスク取得処理 / タスク作成処理 / タスク更新処理 / タスク削除処理</t>
  </si>
  <si>
    <t>JWT検証のタイミング</t>
  </si>
  <si>
    <t>各シーケンス図では、Bearer token 付きで Controller がリクエストを受けた後に、Controller から Spring Security へ JWT検証を依頼する流れで整理されている。</t>
  </si>
  <si>
    <t>実装では SecurityFilterChain に RequestIdFilter と JwtAuthenticationFilter が設定されており、JWT検証は Controller 到達前のフィルタで完了する。Controller が Spring Security を直接呼び出す処理はない。</t>
  </si>
  <si>
    <t>シーケンス図は認証の時系列が逆転しており、現行実装のフィルタチェーン構造を表現できていない。</t>
  </si>
  <si>
    <t>認証フロー/シーケンス不一致</t>
  </si>
  <si>
    <t>backend/src/main/java/com/example/task/config/SecurityConfig.java, backend/src/main/java/com/example/task/security/JwtAuthenticationFilter.java</t>
  </si>
  <si>
    <t>保護APIに Authorization ヘッダを付けて呼ぶ処理を追うと、認証情報は Controller ではなく JwtAuthenticationFilter で SecurityContext に設定される。</t>
  </si>
  <si>
    <t>保護APIのシーケンス図は、Controller の前に Filter / SecurityContext 設定を置く形へ修正すると実装に近くなる。</t>
  </si>
  <si>
    <t>09_シーケンス図設計書.xlsx / タスク取得処理 No.2-6, タスク作成処理 No.3-5, タスク更新処理 No.3-5, タスク削除処理 No.2-4</t>
  </si>
  <si>
    <t>JWT検証はFilterで行うのが現構成の中核なので、図の時系列を修正すべき。</t>
  </si>
  <si>
    <t>SEQ-004</t>
  </si>
  <si>
    <t>タスク作成処理 / タスク更新処理</t>
  </si>
  <si>
    <t>入力値バリデーションの実施位置</t>
  </si>
  <si>
    <t>シーケンス図では、TaskService が『入力値バリデーション』を行う前提で、正常/異常判定を担当するように記載されている。</t>
  </si>
  <si>
    <t>実装では TaskController の引数に @Valid が付与され、TaskCreateRequest / TaskUpdateRequest の Bean Validation エラーは GlobalExceptionHandler で ErrorResponse に変換される。TaskService は主に権限確認・担当者存在確認・保存処理を担う。</t>
  </si>
  <si>
    <t>入力チェックの責務が設計書と実装でずれている。現行実装は Service 内手書きバリデーションではなく、DTO + 例外ハンドラ中心である。</t>
  </si>
  <si>
    <t>入力バリデーション/責務分離</t>
  </si>
  <si>
    <t>backend/src/main/java/com/example/task/controller/TaskController.java, backend/src/main/java/com/example/task/dto/TaskCreateRequest.java, backend/src/main/java/com/example/task/service/TaskService.java, backend/src/main/java/com/example/task/exception/GlobalExceptionHandler.java</t>
  </si>
  <si>
    <t>タイトル未入力や不正な status で /api/tasks を呼ぶと、Service 手前で 400 エラーが返ることを確認する。</t>
  </si>
  <si>
    <t>設計書では『Controller境界でのBean Validation』と『Serviceでの業務ルール確認』を分けて書くと実装との差が減る。</t>
  </si>
  <si>
    <t>09_シーケンス図設計書.xlsx / タスク作成処理 No.6, タスク更新処理 No.9</t>
  </si>
  <si>
    <t>DTO + 例外ハンドラ中心の実装へ図を合わせるのが最短で一貫する。</t>
  </si>
  <si>
    <t>SEQ-005</t>
  </si>
  <si>
    <t>コメント投稿処理 / コメント一覧取得処理 / コメント更新処理 / コメント削除処理 / 添付系各処理 / チーム系各処理</t>
  </si>
  <si>
    <t>拡張系シーケンス図の実装有無</t>
  </si>
  <si>
    <t>設計書には CommentController / AttachmentController / TeamController / TeamMemberController と、それぞれの Service / Repository を前提にした詳細シーケンス図が用意されている。</t>
  </si>
  <si>
    <t>現行コードでは、コメント系・添付系・チーム系の Controller / Service / Entity / Repository / 画面を確認できず、読み込めた実装範囲は認証・タスクCRUD・担当者候補取得が中心である。</t>
  </si>
  <si>
    <t>シーケンス図は拡張機能が実装済みであるかのように詳細化されているが、現行コードには対応処理が存在しない。</t>
  </si>
  <si>
    <t>未実装/シーケンス不一致</t>
  </si>
  <si>
    <t>frontend/src/pages/TaskDetailPage.tsx, frontend/src/components/TaskShell.tsx, backend/src/main/java/com/example/task/controller/CommentController.java(未確認), backend/src/main/java/com/example/task/controller/AttachmentController.java(未確認), backend/src/main/java/com/example/task/controller/TeamController.java(未確認)</t>
  </si>
  <si>
    <t>タスク詳細画面を確認してもコメント/添付UIがなく、バックエンドにも該当Controller/Serviceクラスが存在しないことを確認する。</t>
  </si>
  <si>
    <t>将来拡張の設計として残す場合は、各シートや概要に『未実装』注記を付けると実装資料との差分管理がしやすい。</t>
  </si>
  <si>
    <t>09_シーケンス図設計書.xlsx / コメント系・添付系・チーム系 各シート</t>
  </si>
  <si>
    <t>未実装機能の詳細シーケンスは将来版として分離する方がよい。</t>
  </si>
  <si>
    <t>NFR-001</t>
  </si>
  <si>
    <t>2. システム概要</t>
  </si>
  <si>
    <t>システム構成</t>
  </si>
  <si>
    <t>構成は「React + Spring Boot + PostgreSQL + S3 + AWS」とされ、主要機能にはコメント・添付ファイル・チーム管理・通知も含まれている。</t>
  </si>
  <si>
    <t>現行で確認できる実装は React + Spring Boot + PostgreSQL を前提とした認証/タスクCRUD/担当者候補取得が中心で、S3/AWS連携やコメント・添付・チーム・通知機能は確認できない。</t>
  </si>
  <si>
    <t>非機能要件定義書の前提システム構成が、現行実装範囲より広く記載されている。</t>
  </si>
  <si>
    <t>実装範囲/構成前提</t>
  </si>
  <si>
    <t>backend/build.gradle, backend/src/main/resources/application.yml, frontend/src/App.tsx, frontend/src/pages/TaskDetailPage.tsx</t>
  </si>
  <si>
    <t>コードを確認し、AWS SDK/S3設定・コメント/添付/チーム/通知関連の実装が存在しないことを確認する。</t>
  </si>
  <si>
    <t>将来構想を含むなら「現行実装外」の注記が必要。</t>
  </si>
  <si>
    <t>10_非機能要件定義書.docx / 2. システム概要</t>
  </si>
  <si>
    <t>非機能要件書の前提構成が現行MVPより広いため、現行版と将来版を分けて記載したい。</t>
  </si>
  <si>
    <t>NFR-002</t>
  </si>
  <si>
    <t>4. 可用性</t>
  </si>
  <si>
    <t>EC2/RDS/CloudWatch Logs 前提</t>
  </si>
  <si>
    <t>可用性設計方針として「EC2上でアプリ稼働」「RDSによるDB管理」「CloudWatch Logsで監視」と定義されている。</t>
  </si>
  <si>
    <t>現行リポジトリで確認できるのは Spring Boot のアプリ設定と PostgreSQL 接続設定、構造化ログ出力までで、EC2/RDS/CloudWatch Logs を前提にしたデプロイ設定やIaC、実行環境設定は確認できない。</t>
  </si>
  <si>
    <t>非機能要件書はAWS運用前提で記載されているが、現行コードだけではその運用構成を裏付けられない。</t>
  </si>
  <si>
    <t>運用基盤/可用性前提</t>
  </si>
  <si>
    <t>backend/src/main/resources/application.yml, backend/build.gradle, backend/src/main/java/com/example/task/logging/*</t>
  </si>
  <si>
    <t>リポジトリ内を確認し、AWS向けのデプロイ定義やCloudWatch連携設定がないことを確認する。</t>
  </si>
  <si>
    <t>アプリ実装とインフラ設計を分ける場合は、参照先資料の明記があると整合しやすい。</t>
  </si>
  <si>
    <t>10_非機能要件定義書.docx / 4. 可用性</t>
  </si>
  <si>
    <t>AWS運用前提は今後の構想として残しつつ、現行実装準拠資料からは切り分けるべき。</t>
  </si>
  <si>
    <t>NFR-003</t>
  </si>
  <si>
    <t>3. 性能要件</t>
  </si>
  <si>
    <t>3秒以内の性能保証</t>
  </si>
  <si>
    <t>ログイン、タスク一覧、詳細、作成/更新/削除、コメント投稿が3秒以内で完了することを要件としている。</t>
  </si>
  <si>
    <t>現行実装には性能計測、性能試験結果、SLA監視、クエリ実行時間の測定、コメント投稿機能の実装を確認できない。TaskRepository の EntityGraph や DTO 最適化はあるが、3秒以内を保証・検証した痕跡までは見当たらない。</t>
  </si>
  <si>
    <t>性能目標自体は妥当だが、現行実装/資料からは達成根拠を追えず、コメント投稿は対象機能自体が未実装である。</t>
  </si>
  <si>
    <t>性能要件/根拠不足</t>
  </si>
  <si>
    <t>backend/src/main/java/com/example/task/repository/TaskRepository.java, backend/src/main/java/com/example/task/service/TaskService.java, frontend/src/pages/TaskDetailPage.tsx</t>
  </si>
  <si>
    <t>性能試験コード・ベンチマーク資料・監視設定の有無を確認し、コメント投稿機能が未実装であることを確認する。</t>
  </si>
  <si>
    <t>ポートフォリオ用途なら、目標値に対する簡易測定結果や「未検証」の注記があると説明しやすい。</t>
  </si>
  <si>
    <t>10_非機能要件定義書.docx / 3. 性能要件</t>
  </si>
  <si>
    <t>性能目標は残しつつ、未実装機能の目標整理と現実装の測定根拠追加の両方が必要。</t>
  </si>
  <si>
    <t>NFR-004</t>
  </si>
  <si>
    <t>5. セキュリティ</t>
  </si>
  <si>
    <t>Service層でのRBAC認可制御</t>
  </si>
  <si>
    <t>セキュリティ方針では「Service層で認可制御（RBAC）」を行うとされている。</t>
  </si>
  <si>
    <t>現行実装の認可は、TaskService が「作成者本人」または「担当者本人」で閲覧/更新可、「作成者のみ」削除可という個別条件で判定しており、ロール定義や権限マスタに基づくRBACは存在しない。</t>
  </si>
  <si>
    <t>認可制御は実装されているが、RBAC方式と記載すると現行実装の実態と一致しない。</t>
  </si>
  <si>
    <t>セキュリティ方式/認可モデル</t>
  </si>
  <si>
    <t>backend/src/main/java/com/example/task/service/TaskService.java, backend/src/main/java/com/example/task/exception/ErrorCode.java</t>
  </si>
  <si>
    <t>TaskService の authorizeTaskView/update/delete を確認し、ロールではなく作成者/担当者条件で判定していることを確認する。</t>
  </si>
  <si>
    <t>ABACに近い個別業務ルールなので、資料側の表現見直し推奨。</t>
  </si>
  <si>
    <t>10_非機能要件定義書.docx / 5. セキュリティ</t>
  </si>
  <si>
    <t>現行認可はRBACというより所有者条件中心なので、非機能要件の表現を実態へ寄せる。</t>
  </si>
  <si>
    <t>NFR-005</t>
  </si>
  <si>
    <t>6. 運用・監視</t>
  </si>
  <si>
    <t>CloudWatch Logs へのログ集約</t>
  </si>
  <si>
    <t>運用・監視方針として「CloudWatch Logsにログ集約」「ログ分類（アプリ/認証/例外/監査）」が定義されている。</t>
  </si>
  <si>
    <t>現行コードでは構造化ログの分類出力自体は実装されているが、CloudWatch Logs へ配送するための appender/agent/SDK設定は確認できない。</t>
  </si>
  <si>
    <t>ログ分類の実装は一部ある一方で、CloudWatch Logs への集約までを「実装済み」と読むと不一致になる。</t>
  </si>
  <si>
    <t>監視方式/運用設計</t>
  </si>
  <si>
    <t>backend/src/main/java/com/example/task/logging/StructuredLogService.java, backend/src/main/resources/application.yml</t>
  </si>
  <si>
    <t>ログ分類実装の存在と、CloudWatch連携設定の不在を併せて確認する。</t>
  </si>
  <si>
    <t>ログ分類は満たしているが、集約先は未接続という整理が実態に近い。</t>
  </si>
  <si>
    <t>10_非機能要件定義書.docx / 6. 運用・監視</t>
  </si>
  <si>
    <t>保留</t>
  </si>
  <si>
    <t>CloudWatch集約まで現段階で実装対象に含めるか、デプロイ範囲の意思決定が先に必要。</t>
  </si>
  <si>
    <t>NFR-006</t>
  </si>
  <si>
    <t>7. 拡張性 / 8. バックアップ / 9. 障害シナリオ</t>
  </si>
  <si>
    <t>SQS拡張・RDSバックアップ・S3障害前提</t>
  </si>
  <si>
    <t>拡張性では「非同期処理（SQS）拡張前提」、バックアップでは「RDSバックアップ・S3保存」、障害シナリオでは「S3障害→添付機能のみ影響」としている。</t>
  </si>
  <si>
    <t>現行コードではSQSやメッセージ駆動の抽象化、S3保存処理、添付ファイル機能、バックアップ設定に関する実装は確認できない。</t>
  </si>
  <si>
    <t>非機能要件書は将来のAWS拡張/運用を前提にしているが、現行実装にはその前提機能がまだ存在しない。</t>
  </si>
  <si>
    <t>将来構想/未実装前提</t>
  </si>
  <si>
    <t>backend/build.gradle, backend/src/main/resources/application.yml, frontend/src/pages/TaskDetailPage.tsx</t>
  </si>
  <si>
    <t>AWS連携ライブラリや添付機能UI/APIがないことを確認する。</t>
  </si>
  <si>
    <t>将来構想として残すなら、現行実装との差分管理欄を別立てした方が見やすい。</t>
  </si>
  <si>
    <t>10_非機能要件定義書.docx / 7. 拡張性, 8. バックアップ, 9. 障害シナリオ</t>
  </si>
  <si>
    <t>将来構想としては妥当だが、現行実装版の非機能要件とは段階を分けて記載したい。</t>
  </si>
  <si>
    <t>LOG-001</t>
  </si>
  <si>
    <t>イベント一覧 / Logger対応表</t>
  </si>
  <si>
    <t>起動成功ログ (LOG-APP-001)</t>
  </si>
  <si>
    <t>アプリ起動時に LOG-APP-001「アプリケーション起動」を application logger へ INFO 出力する。</t>
  </si>
  <si>
    <t>確認できた実装では、TaskApplication で登録している起動系 listener は StartupFailureLoggingListener のみで、出力しているのは失敗時の LOG-APP-004 である。</t>
  </si>
  <si>
    <t>ログ設計書では起動成功イベント LOG-APP-001 が定義されているが、現行実装では対応する出力処理を確認できない。</t>
  </si>
  <si>
    <t>ログイベント/実装漏れ</t>
  </si>
  <si>
    <t>backend/src/main/java/com/example/task/TaskApplication.java, backend/src/main/java/com/example/task/logging/StartupFailureLoggingListener.java</t>
  </si>
  <si>
    <t>アプリを正常起動し、起動直後のログを確認する。失敗時用 LOG-APP-004 以外に、起動成功イベントの出力有無を確認する。</t>
  </si>
  <si>
    <t>正常起動時ログを出すのか、失敗時のみでよいのか設計と実装の統一が必要。</t>
  </si>
  <si>
    <t>11_ログ設計書.xlsx / イベント一覧 / LOG-APP-001, Logger対応表</t>
  </si>
  <si>
    <t>起動成功ログは既存ログ設計との親和性が高く、追加コストも比較的低い。</t>
  </si>
  <si>
    <t>LOG-002</t>
  </si>
  <si>
    <t>イベント一覧 / 共通出力項目</t>
  </si>
  <si>
    <t>設定読込成功ログ (LOG-APP-003)</t>
  </si>
  <si>
    <t>起動時に loadedProfiles を含む LOG-APP-003「設定読込成功」を出力する。</t>
  </si>
  <si>
    <t>確認できた実装では、profiles/version を扱う共通ロガーはあるが、設定読込成功時に LOG-APP-003 を出力する listener / hook は確認できていない。</t>
  </si>
  <si>
    <t>ログ設計書では設定読込成功イベントを定義している一方、現行コード上では明示的な成功ログ出力処理が見当たらない。</t>
  </si>
  <si>
    <t>backend/src/main/java/com/example/task/logging/StructuredLogService.java, backend/src/main/java/com/example/task/TaskApplication.java</t>
  </si>
  <si>
    <t>アプリ起動時のログを確認し、loadedProfiles を含む LOG-APP-003 の出力有無を確認する。</t>
  </si>
  <si>
    <t>BuildProperties / active profile を扱う部品はあるため、実装追加は比較的しやすい。</t>
  </si>
  <si>
    <t>11_ログ設計書.xlsx / イベント一覧 / LOG-APP-003, 共通出力項目</t>
  </si>
  <si>
    <t>設定読込成功ログも設計意図が明確で、現行ログ基盤へ追加しやすい。</t>
  </si>
  <si>
    <t>LOG-003</t>
  </si>
  <si>
    <t>イベント一覧</t>
  </si>
  <si>
    <t>アプリケーション終了ログ (LOG-APP-002)</t>
  </si>
  <si>
    <t>終了時に ShutdownHook などで LOG-APP-002「アプリケーション終了」を INFO 出力する。</t>
  </si>
  <si>
    <t>確認できた実装では、終了時ログを出す ShutdownHook や終了イベント listener は確認できない。</t>
  </si>
  <si>
    <t>ログ設計書では終了ログを定義しているが、現行実装では対応する終了時出力処理が未実装に見える。</t>
  </si>
  <si>
    <t>backend/src/main/java/com/example/task/TaskApplication.java</t>
  </si>
  <si>
    <t>アプリ停止時のログを確認し、LOG-APP-002 の出力有無を確認する。</t>
  </si>
  <si>
    <t>面接説明用に終了ログまで揃えるなら実装追加が必要。</t>
  </si>
  <si>
    <t>11_ログ設計書.xlsx / イベント一覧 / LOG-APP-002</t>
  </si>
  <si>
    <t>終了ログは優先度は低いが、設計書に残すなら実装側で揃えた方がきれい。</t>
  </si>
  <si>
    <t>LOG-004</t>
  </si>
  <si>
    <t>認証成功ログの主利用箇所</t>
  </si>
  <si>
    <t>LOG-AUTH-001（ログイン成功）と LOG-AUTH-004（ユーザー登録成功）の主利用箇所は AuthController としている。</t>
  </si>
  <si>
    <t>実装では、ログイン成功/登録成功のログ出力は AuthController ではなく AuthService 内の logLoginSuccess(), logRegisterSuccess() で行っている。</t>
  </si>
  <si>
    <t>ログイベント一覧の「主利用箇所」と実実装の責務配置が一致していない。</t>
  </si>
  <si>
    <t>ログ出力箇所</t>
  </si>
  <si>
    <t>backend/src/main/java/com/example/task/service/AuthService.java:logLoginSuccess(), logRegisterSuccess()</t>
  </si>
  <si>
    <t>AuthController / AuthService の認証成功処理を確認し、どこで StructuredLogService が呼ばれているかを見る。</t>
  </si>
  <si>
    <t>Controller 主導にするか Service 主導にするかはどちらでもよいが、設計書と合わせた方がよい。</t>
  </si>
  <si>
    <t>11_ログ設計書.xlsx / イベント一覧 / LOG-AUTH-001, LOG-AUTH-004</t>
  </si>
  <si>
    <t>主利用箇所の説明が実装責務とずれているため、設計書側の整理で十分解消できる。</t>
  </si>
  <si>
    <t>LOG-005</t>
  </si>
  <si>
    <t>未認証アクセス/JWT検証失敗ログの主利用箇所</t>
  </si>
  <si>
    <t>LOG-AUTH-003 と LOG-AUTH-006 の主利用箇所を SecurityFilter としている。</t>
  </si>
  <si>
    <t>実装では、JWT検証失敗は JwtAuthenticationFilter が出力する一方、未認証アクセスは CustomAuthenticationEntryPoint が LOG-AUTH-006 を出力している。</t>
  </si>
  <si>
    <t>設計書では同じ「SecurityFilter」系に寄せているが、実装は Filter と EntryPoint に分かれている。</t>
  </si>
  <si>
    <t>backend/src/main/java/com/example/task/security/JwtAuthenticationFilter.java, backend/src/main/java/com/example/task/security/CustomAuthenticationEntryPoint.java</t>
  </si>
  <si>
    <t>Authorization ヘッダなしアクセスと不正JWTアクセスをそれぞれ発生させ、どのクラスでログ出力しているか確認する。</t>
  </si>
  <si>
    <t>実装は自然だが、設計書側の表現を Filter/EntryPoint まで分けるとより正確。</t>
  </si>
  <si>
    <t>11_ログ設計書.xlsx / イベント一覧 / LOG-AUTH-003, LOG-AUTH-006</t>
  </si>
  <si>
    <t>Filter と EntryPoint に責務分担されている現構成を仕様書へ反映すべき。</t>
  </si>
  <si>
    <t>LOG-006</t>
  </si>
  <si>
    <t>イベント一覧_補助拡張API / Logger対応表</t>
  </si>
  <si>
    <t>拡張API向けログイベント群</t>
  </si>
  <si>
    <t>コメント・添付・チーム・バッチ用の各ログイベント（LOG-COMM-*, LOG-FILE-*, LOG-TEAM-*, LOG-BATCH-*）を定義している。</t>
  </si>
  <si>
    <t>現行コードで確認できる主要ログ実装は認証・タスクCRUD・共通アクセス・例外中心であり、コメント/添付/チーム/バッチの対応サービスやイベント出力処理は確認できない。</t>
  </si>
  <si>
    <t>ログ設計書には拡張API用イベントが多数定義されているが、現行実装範囲ではまだ裏付けとなる機能実装・ログ実装が存在しない。</t>
  </si>
  <si>
    <t>backend/src/main/java/com/example/task/service/AuthService.java, backend/src/main/java/com/example/task/service/TaskService.java, backend/src/main/java/com/example/task/filter/RequestIdFilter.java, backend/src/main/java/com/example/task/exception/GlobalExceptionHandler.java</t>
  </si>
  <si>
    <t>コードベースを確認し、コメント/添付/チーム/バッチの controller/service/log 出力処理有無を確認する。</t>
  </si>
  <si>
    <t>将来拡張として残す場合は、現行実装対象イベントと将来イベントを分けて管理すると誤解が減る。</t>
  </si>
  <si>
    <t>11_ログ設計書.xlsx / イベント一覧_補助拡張API, Logger対応表</t>
  </si>
  <si>
    <t>拡張API用イベントは将来版ログ設計として分離記載するのが妥当。</t>
  </si>
  <si>
    <t>ERROR-001</t>
  </si>
  <si>
    <t>レスポンス形式 / ログ連携</t>
  </si>
  <si>
    <t>errorCode表記</t>
  </si>
  <si>
    <t>エラーコードは設計書内で一貫した命名で定義され、レスポンス例にも同じ形式を使う。</t>
  </si>
  <si>
    <t>実装のエラーコードは ErrorCode 列挙で ERR-AUTH-001 / ERR-TASK-004 / ERR-INPUT-001 など ERR- 形式に統一されている。</t>
  </si>
  <si>
    <t>エラー設計書のレスポンス例に「VAL-TASK-001」、ログ連携の例に「RES-TASK-404」が記載されているが、実装の実際のコード体系は「ERR-TASK-001」「ERR-TASK-004」であり表記が一致していない。</t>
  </si>
  <si>
    <t>エラーコード/記載不整合</t>
  </si>
  <si>
    <t>backend/src/main/java/com/example/task/exception/ErrorCode.java</t>
  </si>
  <si>
    <t>ErrorCode 定義と、設計書「レスポンス形式」「ログ連携」の errorCode 例を比較する。</t>
  </si>
  <si>
    <t>設計書内でもコード体系が揺れているため、他設計書との横並びでも修正推奨。</t>
  </si>
  <si>
    <t>12_エラー設計書.xlsx / レスポンス形式 / ログ連携</t>
  </si>
  <si>
    <t>エラーコード表記の誤りは仕様書側の修正で解消でき、実装変更の必要はない。</t>
  </si>
  <si>
    <t>ERROR-002</t>
  </si>
  <si>
    <t>基本方針 / ログ連携 / 設計意図</t>
  </si>
  <si>
    <t>requestId とアプリログ連携</t>
  </si>
  <si>
    <t>requestId のレスポンス返却は完了しているが、アプリログとの連携は未実装・今後拡張とされている。</t>
  </si>
  <si>
    <t>RequestIdFilter が requestId を採番し、StructuredLogService.requestFields() が requestId をログ項目に含め、アクセスログやエラーログでも利用している。</t>
  </si>
  <si>
    <t>設計書では『アプリログ連携は未実装』『今後の拡張ポイント』とされているが、実装では requestId はすでにアプリ/認証/監査ログの共通項目として利用されている。</t>
  </si>
  <si>
    <t>ログ連携/実装状況</t>
  </si>
  <si>
    <t>backend/src/main/java/com/example/task/filter/RequestIdFilter.java, backend/src/main/java/com/example/task/logging/StructuredLogService.java, backend/src/main/java/com/example/task/exception/GlobalExceptionHandler.java</t>
  </si>
  <si>
    <t>RequestIdFilter の採番処理と StructuredLogService.requestFields() の requestId 出力、および各例外/監査ログのフィールド生成を確認する。</t>
  </si>
  <si>
    <t>ログ設計書との整合も取りやすいので、設計書側を『実装済み』へ寄せた方が自然。</t>
  </si>
  <si>
    <t>12_エラー設計書.xlsx / 基本方針 / ログ連携 / 設計意図</t>
  </si>
  <si>
    <t>実装済み機能を未実装と書いているため、設計書の更新を優先すべき。</t>
  </si>
  <si>
    <t>ERROR-003</t>
  </si>
  <si>
    <t>ログ連携</t>
  </si>
  <si>
    <t>エラー時のバックエンドログ出力</t>
  </si>
  <si>
    <t>業務エラー時のバックエンドログレベル出力や errorCode 付きログ出力は未実装、今後拡張とされている。</t>
  </si>
  <si>
    <t>GlobalExceptionHandler、CustomAuthenticationEntryPoint、CustomAccessDeniedHandler、JwtAuthenticationFilter、AuthService、TaskService で WARN/ERROR/INFO ログと errorCode/eventId を出力している。</t>
  </si>
  <si>
    <t>設計書では『バックエンドのログレベル出力は未実装』『ログ出力との突合は今後の拡張』と記載されているが、実装ではすでに errorCode を伴う構造化ログ出力が広く入っている。</t>
  </si>
  <si>
    <t>backend/src/main/java/com/example/task/exception/GlobalExceptionHandler.java, backend/src/main/java/com/example/task/security/CustomAuthenticationEntryPoint.java, backend/src/main/java/com/example/task/security/CustomAccessDeniedHandler.java, backend/src/main/java/com/example/task/security/JwtAuthenticationFilter.java</t>
  </si>
  <si>
    <t>各例外ハンドラ・認証フィルタの structuredLogService 呼び出しを確認する。</t>
  </si>
  <si>
    <t>ログ設計書の内容とはむしろ整合しているため、エラー設計書側の古い記載と見られる。</t>
  </si>
  <si>
    <t>12_エラー設計書.xlsx / ログ連携</t>
  </si>
  <si>
    <t>構造化ログ出力はすでに実装済みなので、設計書の実装状況記載を正すべき。</t>
  </si>
  <si>
    <t>ERROR-004</t>
  </si>
  <si>
    <t>機能別エラーコード / 例外ハンドリング</t>
  </si>
  <si>
    <t>403系 errorCode の割り当て</t>
  </si>
  <si>
    <t>BusinessException / AccessDeniedException により ERR-AUTH-005 / ERR-TASK-005 / ERR-TASK-006 を返し分ける想定。</t>
  </si>
  <si>
    <t>TaskService の更新/削除権限違反は BusinessException で ERR-TASK-005/006 を返す一方、Spring Security の AccessDeniedException は CustomAccessDeniedHandler で常に ERR-AUTH-005 を返す。</t>
  </si>
  <si>
    <t>設計書は 403 系コードを AccessDeniedException でも返し分けるように読めるが、実装では AccessDeniedException の返却コードは ERR-AUTH-005 固定で、ERR-TASK-005/006 は TaskService からの BusinessException に限定される。</t>
  </si>
  <si>
    <t>例外設計/権限エラー</t>
  </si>
  <si>
    <t>backend/src/main/java/com/example/task/security/CustomAccessDeniedHandler.java, backend/src/main/java/com/example/task/service/TaskService.java, backend/src/main/java/com/example/task/exception/GlobalExceptionHandler.java</t>
  </si>
  <si>
    <t>Spring Security で AccessDeniedException が発生するケースと、Task 更新/削除権限違反の BusinessException ケースを比較する。</t>
  </si>
  <si>
    <t>設計書には『403の発生源ごとの返却コード整理』を明記した方が誤解が少ない。</t>
  </si>
  <si>
    <t>12_エラー設計書.xlsx / 機能別エラーコード / 例外ハンドリング</t>
  </si>
  <si>
    <t>403返却の責務分担は現実装の方が明確であり、設計書側の整理が適切。</t>
  </si>
  <si>
    <t>AUTHZ-001</t>
  </si>
  <si>
    <t>3. ロール定義 / 4. 認可判定の考え方</t>
  </si>
  <si>
    <t>ロールモデル（MEMBER/ADMIN）</t>
  </si>
  <si>
    <t>MEMBER / ADMIN と所有者条件（作成者・担当者・チーム管理者）を組み合わせて認可判定する。</t>
  </si>
  <si>
    <t>User エンティティは id / name / email / password のみを保持し、CustomUserDetails.getAuthorities() は常に ROLE_USER を返す。</t>
  </si>
  <si>
    <t>認可設計書は RBAC 前提だが、現行実装には MEMBER / ADMIN やチーム管理者を表現する永続化項目・権限モデルがなく、ロールベース判定を実装上表現できない。</t>
  </si>
  <si>
    <t>権限モデル/データモデル</t>
  </si>
  <si>
    <t>backend/src/main/java/com/example/task/entity/User.java, backend/src/main/java/com/example/task/security/CustomUserDetails.java</t>
  </si>
  <si>
    <t>User エンティティと CustomUserDetails を確認し、role / teamRole 相当の属性や権限分岐が存在しないことを確認する。</t>
  </si>
  <si>
    <t>RBAC を本当に採用するなら、ユーザーロールまたはチームメンバーシップのモデル追加が必要。</t>
  </si>
  <si>
    <t>13_認可設計書.docx / 3. ロール定義 / 4. 認可判定の考え方</t>
  </si>
  <si>
    <t>RBACの完全導入はまだ前提条件が不足しており、現段階では設計書の段階分けが必要。</t>
  </si>
  <si>
    <t>AUTHZ-002</t>
  </si>
  <si>
    <t>2. 基本方針 / 5-2. タスク系マトリクス / 6. 代表的な認可ルール / 7. 実装方針</t>
  </si>
  <si>
    <t>タスク更新認可</t>
  </si>
  <si>
    <t>MEMBER は作成者 / 担当者 / 許可対象のみ、ADMIN はチーム内タスクを更新可能とする。</t>
  </si>
  <si>
    <t>TaskService.authorizeTaskUpdate() は canUpdateTask() → canViewTask() を呼び、作成者または担当者の場合のみ更新を許可している。</t>
  </si>
  <si>
    <t>設計書は RBAC + 所有者ベース制御を想定しているが、現実装のタスク更新認可は「作成者または担当者」の所有者条件だけで、ADMIN / チーム管理者 / 許可対象の判定が存在しない。</t>
  </si>
  <si>
    <t>権限ロジック</t>
  </si>
  <si>
    <t>backend/src/main/java/com/example/task/service/TaskService.java:authorizeTaskUpdate(), canUpdateTask(), canViewTask()</t>
  </si>
  <si>
    <t>作成者でも担当者でもないユーザーで更新APIを実行すると403になる。ADMIN相当の特別扱い分岐は存在しない。</t>
  </si>
  <si>
    <t>設計書本文にも「2026-04-08時点は第1段階」とあるため、現状は設計目標との差分として整理するのが妥当。</t>
  </si>
  <si>
    <t>13_認可設計書.docx / 2. 基本方針 / 5-2. タスク系マトリクス / 6. 代表的な認可ルール / 7. 実装方針</t>
  </si>
  <si>
    <t>更新権限は第1段階実装として所有者条件中心に固まっているため、設計書側を段階表現に直したい。</t>
  </si>
  <si>
    <t>AUTHZ-003</t>
  </si>
  <si>
    <t>5-2. タスク系マトリクス / 6. 代表的な認可ルール</t>
  </si>
  <si>
    <t>タスク削除認可</t>
  </si>
  <si>
    <t>MEMBER は作成者のみ、ADMIN はチーム内タスクを削除可能とする。</t>
  </si>
  <si>
    <t>TaskService.authorizeTaskDelete() は canDeleteTask() を使い、作成者本人だけを削除可としている。</t>
  </si>
  <si>
    <t>設計書では ADMIN にチーム内削除権限を与えるが、現実装は作成者本人のみ削除可能で、ADMIN / チーム管理者条件は未実装。</t>
  </si>
  <si>
    <t>backend/src/main/java/com/example/task/service/TaskService.java:authorizeTaskDelete(), canDeleteTask()</t>
  </si>
  <si>
    <t>作成者以外のユーザーで削除APIを実行すると403になる。ADMIN相当の例外経路は存在しない。</t>
  </si>
  <si>
    <t>更新よりも削除の方がさらに厳しい所有者限定実装になっている。</t>
  </si>
  <si>
    <t>13_認可設計書.docx / 5-2. タスク系マトリクス / 6. 代表的な認可ルール</t>
  </si>
  <si>
    <t>削除権限のADMIN拡張は将来対応として扱い、現行仕様は実装準拠にするのが妥当。</t>
  </si>
  <si>
    <t>AUTHZ-004</t>
  </si>
  <si>
    <t>5-3. コメント系マトリクス / 5-5. チーム系マトリクス / 8. エラー設計との対応</t>
  </si>
  <si>
    <t>コメント系・チーム系の認可エラーコード</t>
  </si>
  <si>
    <t>PERM-COMM-403-UPD / PERM-COMM-403-DEL / PERM-TEAM-403-ADMIN など、機能別の認可エラーコードを返す。</t>
  </si>
  <si>
    <t>ErrorCode 列挙には ERR-AUTH-005、ERR-TASK-005、ERR-TASK-006 はあるが、コメント系・チーム管理系の権限エラーコードは定義されていない。</t>
  </si>
  <si>
    <t>認可設計書で定義したコメント系・チーム系の認可エラーコードを、現行実装は返却できない。</t>
  </si>
  <si>
    <t>エラーコード/未実装</t>
  </si>
  <si>
    <t>ErrorCode 定義を確認し、PERM-COMM-403-UPD / PERM-COMM-403-DEL / PERM-TEAM-403-ADMIN 相当が存在しないことを確認する。</t>
  </si>
  <si>
    <t>コメント/チーム機能自体が未実装のため、権限エラーコードも未着手の状態。</t>
  </si>
  <si>
    <t>13_認可設計書.docx / 5-3. コメント系マトリクス / 5-5. チーム系マトリクス / 8. エラー設計との対応</t>
  </si>
  <si>
    <t>コメント系・チーム系エラーコードは対象機能未実装なので、先行定義として区分すべき。</t>
  </si>
  <si>
    <t>AUTHZ-005</t>
  </si>
  <si>
    <t>5-2. タスク系マトリクス</t>
  </si>
  <si>
    <t>タスク複製</t>
  </si>
  <si>
    <t>参照可能なタスクは MEMBER / ADMIN ともに複製できる。</t>
  </si>
  <si>
    <t>TaskController には複製用エンドポイントがなく、TaskDetailPage / TaskListPage にも複製操作は実装されていない。</t>
  </si>
  <si>
    <t>認可マトリクスでは「タスク複製」を対象機能として定義しているが、現行実装には機能自体が存在せず、認可ルールを適用する対象がない。</t>
  </si>
  <si>
    <t>機能未実装/権限定義先行</t>
  </si>
  <si>
    <t>backend/src/main/java/com/example/task/controller/TaskController.java, frontend/src/pages/TaskDetailPage.tsx, frontend/src/pages/TaskListPage.tsx</t>
  </si>
  <si>
    <t>タスク詳細画面・一覧画面を確認しても複製ボタンがなく、TaskController にも複製APIが存在しないことを確認する。</t>
  </si>
  <si>
    <t>他設計書でも複製は出ているため、将来機能として残すなら実装対象外であることを明記した方がよい。</t>
  </si>
  <si>
    <t>13_認可設計書.docx / 5-2. タスク系マトリクス</t>
  </si>
  <si>
    <t>タスク複製は他仕様書や過去要件でも繰り返し現れており、実装追従の価値が高い。</t>
  </si>
  <si>
    <t>AUTHZ-006</t>
  </si>
  <si>
    <t>5-1. 認証系マトリクス</t>
  </si>
  <si>
    <t>ログアウト</t>
  </si>
  <si>
    <t>ログイン済みユーザーはログアウト機能を利用できる。</t>
  </si>
  <si>
    <t>フロントエンドの handleLogout() はローカル保存トークンを削除して /login に遷移するが、バックエンドの AuthController にログアウトAPIやトークン失効処理は存在しない。</t>
  </si>
  <si>
    <t>認可設計書では認証系機能としてログアウトを定義しているが、現行実装はフロントエンドのローカル状態クリアのみで、サーバー側のログアウト処理は未実装。</t>
  </si>
  <si>
    <t>認証/機能実装</t>
  </si>
  <si>
    <t>frontend/src/hooks/useAuthState.ts:handleLogout(), backend/src/main/java/com/example/task/controller/AuthController.java</t>
  </si>
  <si>
    <t>ログアウト操作を行うとクライアント側の token は消えるが、サーバー側に /api/auth/logout への通信は発生しない。</t>
  </si>
  <si>
    <t>JWTのブラックリスト化や失効管理をしない方針なら、仕様書側に「クライアント側ログアウト」と明記した方がよい。</t>
  </si>
  <si>
    <t>13_認可設計書.docx / 5-1. 認証系マトリクス</t>
  </si>
  <si>
    <t>SPAのJWT運用ではクライアント側ログアウトで成立するため、サーバーAPI必須の書き方を緩めるべき。</t>
  </si>
  <si>
    <t>FEND-001</t>
  </si>
  <si>
    <t>6. 画面別責務</t>
  </si>
  <si>
    <t>ログイン画面 / 認証API</t>
  </si>
  <si>
    <t>ログイン画面の主なAPIは POST /auth/login とする。</t>
  </si>
  <si>
    <t>フロントエンドの login() は '/api/auth/login' を呼び、バックエンドの AuthController も '/api/auth/login' を公開している。</t>
  </si>
  <si>
    <t>設計書のログインAPIパスが '/auth/login' になっているが、実装はフロント・バックエンドともに '/api/auth/login' で統一されている。</t>
  </si>
  <si>
    <t>APIパス</t>
  </si>
  <si>
    <t>frontend/src/lib/authApi.ts:login(), backend/src/main/java/com/example/task/controller/AuthController.java: @RequestMapping('/api/auth') / @PostMapping('/login')</t>
  </si>
  <si>
    <t>ログイン画面から認証を実行するか、authApi.ts と AuthController の定義を確認する。</t>
  </si>
  <si>
    <t>API設計書との整合も考えると、'/api' プレフィックス付きに寄せるのが自然。</t>
  </si>
  <si>
    <t>14_フロントエンド設計書.docx / 6. 画面別責務</t>
  </si>
  <si>
    <t>APIパスは実装が明確で、設計書側の記載誤り修正で解消できる。</t>
  </si>
  <si>
    <t>FEND-002</t>
  </si>
  <si>
    <t>新規登録画面 / 登録API</t>
  </si>
  <si>
    <t>新規登録画面の主なAPIは POST /auth/signup とする。</t>
  </si>
  <si>
    <t>フロントエンドの register() は '/api/auth/register' を呼び、バックエンドの AuthController も '/api/auth/register' を公開している。</t>
  </si>
  <si>
    <t>設計書は '/auth/signup' を前提にしているが、現行実装の登録APIは '/api/auth/register' であり、パス名とエンドポイント名の両方が一致していない。</t>
  </si>
  <si>
    <t>frontend/src/lib/authApi.ts:register(), backend/src/main/java/com/example/task/controller/AuthController.java: @PostMapping('/register')</t>
  </si>
  <si>
    <t>新規登録画面から登録を実行するか、authApi.ts と AuthController の定義を確認する。</t>
  </si>
  <si>
    <t>ログインAPIだけでなく登録APIも、設計書側のパス記載を更新した方がよい。</t>
  </si>
  <si>
    <t>登録APIも同様に設計書のパス・名称を実装へ合わせるべき。</t>
  </si>
  <si>
    <t>FEND-003</t>
  </si>
  <si>
    <t>タスク一覧画面</t>
  </si>
  <si>
    <t>タスク一覧画面は一覧表示に加え、検索導線を持つ。</t>
  </si>
  <si>
    <t>TaskListPage にはステータス・優先度のプルダウンはあるが、キーワード検索入力や検索実行ボタンは存在しない。フロントエンドから keyword クエリを渡す実装もない。</t>
  </si>
  <si>
    <t>設計書ではタスク一覧の主機能として『検索導線』を挙げているが、現行実装の一覧画面は状態/優先度フィルタのみで、検索導線は未実装。</t>
  </si>
  <si>
    <t>画面機能</t>
  </si>
  <si>
    <t>frontend/src/pages/TaskListPage.tsx, frontend/src/hooks/useTaskState.ts, frontend/src/lib/taskApi.ts</t>
  </si>
  <si>
    <t>タスク一覧画面を表示し、入力欄や検索ボタンの有無、キーワード検索で API を呼ぶ処理の有無を確認する。</t>
  </si>
  <si>
    <t>バックエンド側は keyword パラメータを受け取れるため、主にフロント側の未追従と整理できる。</t>
  </si>
  <si>
    <t>バックエンドも設計書も検索導線前提で揃っているため、未実装のフロント追従を優先したい。</t>
  </si>
  <si>
    <t>FEND-004</t>
  </si>
  <si>
    <t>5. 画面レイアウト設計 / 10. 実装・テスト観点</t>
  </si>
  <si>
    <t>認証後レイアウトのスクロール方式</t>
  </si>
  <si>
    <t>ログイン後画面は『固定ヘッダー + 固定サイドバー + メインコンテンツ』とし、メインコンテンツのみスクロールさせる。</t>
  </si>
  <si>
    <t>App.css ではヘッダーとサイドバーは fixed だが、.content-area に専用の overflow 制御はなく、サイドバーには overflow-y:auto が付いている。</t>
  </si>
  <si>
    <t>設計書は『メインコンテンツのみスクロール』を前提にしているが、実装はメインコンテンツ専用スクロールコンテナになっておらず、サイドバーも独自にスクロールし得る構造になっている。</t>
  </si>
  <si>
    <t>レイアウト/CSS</t>
  </si>
  <si>
    <t>frontend/src/components/TaskShell.tsx, frontend/src/App.css (.app-header, .sidebar, .content-area)</t>
  </si>
  <si>
    <t>ログイン後画面を表示し、長いサイドバーや長い本文を持つ状態でスクロール挙動を確認する。</t>
  </si>
  <si>
    <t>見た目は近いが、厳密には設計書のスクロール責務分離を満たしていない。</t>
  </si>
  <si>
    <t>14_フロントエンド設計書.docx / 5. 画面レイアウト設計 / 10. 実装・テスト観点</t>
  </si>
  <si>
    <t>現行CSSでも利用上は成立しており、まず設計書側のスクロール定義を実装実態に合わせる方がよい。</t>
  </si>
  <si>
    <t>影響度別件数</t>
  </si>
  <si>
    <t>対象別件数</t>
  </si>
  <si>
    <t>推奨方針別件数</t>
  </si>
  <si>
    <t>推奨優先度別件数</t>
  </si>
  <si>
    <t>影響度</t>
  </si>
  <si>
    <t>件数</t>
  </si>
  <si>
    <t>対象</t>
  </si>
  <si>
    <t>優先度</t>
  </si>
  <si>
    <t>P0</t>
  </si>
  <si>
    <t>使い方</t>
  </si>
  <si>
    <t>・仕様書の記載と、実コードの挙動が一致しない点を1行=1件で記録します。</t>
  </si>
  <si>
    <t>・『該当コード』はファイルパスと関連箇所(関数/行番号)を書きます。</t>
  </si>
  <si>
    <t>・影響度は P0(致命) / P1(高) / P2(中) / P3(低) で統一します。</t>
  </si>
  <si>
    <t>・仕様書参照には、URLやページ番号、見出し名などを入れて追跡できるようにします。</t>
  </si>
  <si>
    <t>追加列</t>
  </si>
  <si>
    <t>推奨方針 / 判断理由 / 推奨優先度 を追加。推奨方針は「仕様書修正 / 実装修正 / 両方見直し / 保留」で判定。</t>
  </si>
  <si>
    <t>18:43</t>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</si>
</sst>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b/>
      <sz val="14"/>
      <name val="Calibri"/>
      <family val="2"/>
    </font>
    <font>
      <sz val="11"/>
      <color theme="1"/>
      <name val="Calibri"/>
      <family val="2"/>
      <scheme val="minor"/>
    </font>
    <font>
      <sz val="6"/>
      <name val="Calibri"/>
      <family val="3"/>
      <charset val="128"/>
      <scheme val="minor"/>
    </font>
  </fonts>
  <fills count="2">
    <fill>
      <patternFill patternType="none"/>
    </fill>
    <fill>
      <patternFill patternType="gray125"/>
    </fill>
  </fills>
  <borders count="2">
    <border>
      <left/>
      <right/>
      <top/>
      <bottom/>
      <diagonal/>
    </border>
    <border>
      <left style="thin">
        <color rgb="FFD9D9D9"/>
      </left>
      <right style="thin">
        <color rgb="FFD9D9D9"/>
      </right>
      <top style="thin">
        <color rgb="FFD9D9D9"/>
      </top>
      <bottom style="thin">
        <color rgb="FFD9D9D9"/>
      </bottom>
      <diagonal/>
    </border>
  </borders>
  <cellStyleXfs count="2">
    <xf numFmtId="0" fontId="0" fillId="0" borderId="0"/>
    <xf numFmtId="0" fontId="3" fillId="0" borderId="0"/>
  </cellStyleXfs>
  <cellXfs count="8">
    <xf numFmtId="0" fontId="0" fillId="0" borderId="0" xfId="0"/>
    <xf numFmtId="0" fontId="2" fillId="0" borderId="0" xfId="1" applyFont="1"/>
    <xf numFmtId="0" fontId="0" fillId="0" borderId="0" xfId="1" applyFont="1" applyAlignment="1">
      <alignment vertical="top" wrapText="1"/>
    </xf>
    <xf numFmtId="0" fontId="1" fillId="0" borderId="0" xfId="1" applyFont="1" applyAlignment="1">
      <alignment vertical="center" wrapText="1"/>
    </xf>
    <xf numFmtId="0" fontId="1" fillId="0" borderId="1" xfId="1" applyFont="1" applyBorder="1" applyAlignment="1">
      <alignment vertical="center" wrapText="1"/>
    </xf>
    <xf numFmtId="0" fontId="0" fillId="0" borderId="1" xfId="1" applyFont="1" applyBorder="1" applyAlignment="1">
      <alignment vertical="center" wrapText="1"/>
    </xf>
    <xf numFmtId="0" fontId="0" fillId="0" borderId="0" xfId="1" applyFont="1" applyAlignment="1">
      <alignment vertical="center" wrapText="1"/>
    </xf>
    <xf numFmtId="0" fontId="0" fillId="0" borderId="0" xfId="0" applyAlignment="1">
      <alignment horizontal="left" vertical="top" wrapText="1"/>
    </xf>
  </cellXfs>
  <cellStyles count="2">
    <cellStyle name="Normal" xfId="1" xr:uid="{00000000-0005-0000-0000-000000000000}"/>
    <cellStyle name="標準" xfId="0" builtinId="0"/>
  </cellStyles>
  <dxfs count="20">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406640A-CC6D-B040-A8D3-1F9D274DB5BB}" name="テーブル2" displayName="テーブル2" ref="B1:S58" totalsRowShown="0" headerRowDxfId="19" dataDxfId="18">
  <autoFilter ref="B1:S58" xr:uid="{3406640A-CC6D-B040-A8D3-1F9D274DB5BB}">
    <filterColumn colId="15">
      <filters>
        <filter val="実装修正"/>
        <filter val="保留"/>
        <filter val="両方見直し"/>
      </filters>
    </filterColumn>
  </autoFilter>
  <tableColumns count="18">
    <tableColumn id="1" xr3:uid="{CEE7A59A-751E-5042-A5A6-3F0E19FDE629}" name="18:43" dataDxfId="17"/>
    <tableColumn id="2" xr3:uid="{EB56973B-71AE-D044-B63B-1737A54FFE77}" name="仕様書セクション" dataDxfId="16"/>
    <tableColumn id="3" xr3:uid="{CB00A976-773E-A749-8A73-1CA03D04639A}" name="機能/画面" dataDxfId="15"/>
    <tableColumn id="4" xr3:uid="{8B21831C-C26F-DE47-AE48-9F31936A312B}" name="期待仕様(要約)" dataDxfId="14"/>
    <tableColumn id="5" xr3:uid="{5D118574-EAC1-8345-89C6-247235AF9AA8}" name="実装の挙動(要約)" dataDxfId="13"/>
    <tableColumn id="6" xr3:uid="{F4EDA886-9DBC-0147-9757-70FD4EBCAE9D}" name="不一致内容" dataDxfId="12"/>
    <tableColumn id="7" xr3:uid="{3497600A-B904-D14F-9EDD-24BCD9544ACA}" name="不一致種別" dataDxfId="11"/>
    <tableColumn id="8" xr3:uid="{E1F01C27-872A-5149-858A-9EB7072618DC}" name="影響度(P0-P3)" dataDxfId="10"/>
    <tableColumn id="9" xr3:uid="{31EF311A-AA27-4B48-9BA6-778BBB3601B2}" name="対象(Backend/Frontend)" dataDxfId="9"/>
    <tableColumn id="10" xr3:uid="{5CC815B1-6AB0-E34A-892B-8495A59778AE}" name="該当コード(ファイル:行/関数等)" dataDxfId="8"/>
    <tableColumn id="11" xr3:uid="{476CCDF7-6667-3247-9789-B32BBD209D6F}" name="再現手順/条件" dataDxfId="7"/>
    <tableColumn id="12" xr3:uid="{7EFD6B34-91D7-8C47-9063-23DBF46E0620}" name="メモ" dataDxfId="6"/>
    <tableColumn id="13" xr3:uid="{EF1570B9-4A29-924C-8A1F-58583BA9A923}" name="仕様書参照(URL/ページ等)" dataDxfId="5"/>
    <tableColumn id="14" xr3:uid="{8C46D9B7-A01E-E043-858C-9967D11C89AD}" name="確認日" dataDxfId="4"/>
    <tableColumn id="15" xr3:uid="{A1FDA246-4EBF-244B-B1C5-BA8DB95CCF66}" name="対応状況" dataDxfId="3"/>
    <tableColumn id="16" xr3:uid="{6D58C977-5065-9649-A2FF-54950CA063F0}" name="推奨方針" dataDxfId="2"/>
    <tableColumn id="17" xr3:uid="{BDBCD0BF-A41B-484B-9453-320505060490}" name="判断理由" dataDxfId="1"/>
    <tableColumn id="18" xr3:uid="{949EBAB7-D451-984F-BDA1-443B21FEED2B}" name="推奨優先度" dataDxfId="0"/>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2DC6C-0B44-CC42-8767-CB1D49E6C224}">
  <dimension ref="B1:S58"/>
  <sheetViews>
    <sheetView tabSelected="1" zoomScale="140" zoomScaleNormal="140" workbookViewId="0">
      <pane xSplit="2" ySplit="1" topLeftCell="C7" activePane="bottomRight" state="frozen"/>
      <selection pane="topRight" activeCell="C1" sqref="C1"/>
      <selection pane="bottomLeft" activeCell="A2" sqref="A2"/>
      <selection pane="bottomRight"/>
    </sheetView>
  </sheetViews>
  <sheetFormatPr baseColWidth="10" defaultRowHeight="15" x14ac:dyDescent="0.2"/>
  <cols>
    <col min="1" max="1" width="4.1640625" style="7" customWidth="1"/>
    <col min="2" max="2" width="10.83203125" style="7"/>
    <col min="3" max="3" width="26.1640625" style="7" customWidth="1"/>
    <col min="4" max="4" width="27.1640625" style="7" customWidth="1"/>
    <col min="5" max="5" width="33.1640625" style="7" customWidth="1"/>
    <col min="6" max="6" width="36.6640625" style="7" customWidth="1"/>
    <col min="7" max="7" width="36" style="7" customWidth="1"/>
    <col min="8" max="8" width="28.1640625" style="7" bestFit="1" customWidth="1"/>
    <col min="9" max="9" width="14.5" style="7" customWidth="1"/>
    <col min="10" max="10" width="22.1640625" style="7" customWidth="1"/>
    <col min="11" max="11" width="36.1640625" style="7" customWidth="1"/>
    <col min="12" max="12" width="30.1640625" style="7" customWidth="1"/>
    <col min="13" max="13" width="34" style="7" customWidth="1"/>
    <col min="14" max="14" width="30" style="7" customWidth="1"/>
    <col min="15" max="15" width="11" style="7" bestFit="1" customWidth="1"/>
    <col min="16" max="16" width="10.83203125" style="7" customWidth="1"/>
    <col min="17" max="17" width="11.1640625" style="7" bestFit="1" customWidth="1"/>
    <col min="18" max="18" width="40" style="7" customWidth="1"/>
    <col min="19" max="19" width="12.6640625" style="7" customWidth="1"/>
    <col min="20" max="16384" width="10.83203125" style="7"/>
  </cols>
  <sheetData>
    <row r="1" spans="2:19" ht="16" x14ac:dyDescent="0.2">
      <c r="B1" s="7" t="s">
        <v>709</v>
      </c>
      <c r="C1" s="7" t="s">
        <v>0</v>
      </c>
      <c r="D1" s="7" t="s">
        <v>1</v>
      </c>
      <c r="E1" s="7" t="s">
        <v>2</v>
      </c>
      <c r="F1" s="7" t="s">
        <v>3</v>
      </c>
      <c r="G1" s="7" t="s">
        <v>4</v>
      </c>
      <c r="H1" s="7" t="s">
        <v>5</v>
      </c>
      <c r="I1" s="7" t="s">
        <v>6</v>
      </c>
      <c r="J1" s="7" t="s">
        <v>7</v>
      </c>
      <c r="K1" s="7" t="s">
        <v>8</v>
      </c>
      <c r="L1" s="7" t="s">
        <v>9</v>
      </c>
      <c r="M1" s="7" t="s">
        <v>10</v>
      </c>
      <c r="N1" s="7" t="s">
        <v>11</v>
      </c>
      <c r="O1" s="7" t="s">
        <v>12</v>
      </c>
      <c r="P1" s="7" t="s">
        <v>13</v>
      </c>
      <c r="Q1" s="7" t="s">
        <v>14</v>
      </c>
      <c r="R1" s="7" t="s">
        <v>15</v>
      </c>
      <c r="S1" s="7" t="s">
        <v>16</v>
      </c>
    </row>
    <row r="2" spans="2:19" ht="64" hidden="1" x14ac:dyDescent="0.2">
      <c r="B2" s="7" t="s">
        <v>17</v>
      </c>
      <c r="C2" s="7" t="s">
        <v>18</v>
      </c>
      <c r="D2" s="7" t="s">
        <v>19</v>
      </c>
      <c r="E2" s="7" t="s">
        <v>20</v>
      </c>
      <c r="F2" s="7" t="s">
        <v>21</v>
      </c>
      <c r="G2" s="7" t="s">
        <v>22</v>
      </c>
      <c r="H2" s="7" t="s">
        <v>23</v>
      </c>
      <c r="I2" s="7" t="s">
        <v>24</v>
      </c>
      <c r="J2" s="7" t="s">
        <v>25</v>
      </c>
      <c r="K2" s="7" t="s">
        <v>26</v>
      </c>
      <c r="L2" s="7" t="s">
        <v>27</v>
      </c>
      <c r="M2" s="7" t="s">
        <v>28</v>
      </c>
      <c r="N2" s="7" t="s">
        <v>29</v>
      </c>
      <c r="O2" s="7" t="s">
        <v>30</v>
      </c>
      <c r="P2" s="7" t="s">
        <v>31</v>
      </c>
      <c r="Q2" s="7" t="s">
        <v>32</v>
      </c>
      <c r="R2" s="7" t="s">
        <v>33</v>
      </c>
      <c r="S2" s="7" t="s">
        <v>34</v>
      </c>
    </row>
    <row r="3" spans="2:19" ht="64" hidden="1" x14ac:dyDescent="0.2">
      <c r="B3" s="7" t="s">
        <v>35</v>
      </c>
      <c r="C3" s="7" t="s">
        <v>18</v>
      </c>
      <c r="D3" s="7" t="s">
        <v>36</v>
      </c>
      <c r="E3" s="7" t="s">
        <v>37</v>
      </c>
      <c r="F3" s="7" t="s">
        <v>38</v>
      </c>
      <c r="G3" s="7" t="s">
        <v>39</v>
      </c>
      <c r="H3" s="7" t="s">
        <v>23</v>
      </c>
      <c r="I3" s="7" t="s">
        <v>24</v>
      </c>
      <c r="J3" s="7" t="s">
        <v>25</v>
      </c>
      <c r="K3" s="7" t="s">
        <v>40</v>
      </c>
      <c r="L3" s="7" t="s">
        <v>41</v>
      </c>
      <c r="M3" s="7" t="s">
        <v>42</v>
      </c>
      <c r="N3" s="7" t="s">
        <v>43</v>
      </c>
      <c r="O3" s="7" t="s">
        <v>30</v>
      </c>
      <c r="P3" s="7" t="s">
        <v>31</v>
      </c>
      <c r="Q3" s="7" t="s">
        <v>32</v>
      </c>
      <c r="R3" s="7" t="s">
        <v>44</v>
      </c>
      <c r="S3" s="7" t="s">
        <v>34</v>
      </c>
    </row>
    <row r="4" spans="2:19" ht="48" hidden="1" x14ac:dyDescent="0.2">
      <c r="B4" s="7" t="s">
        <v>45</v>
      </c>
      <c r="C4" s="7" t="s">
        <v>18</v>
      </c>
      <c r="D4" s="7" t="s">
        <v>46</v>
      </c>
      <c r="E4" s="7" t="s">
        <v>47</v>
      </c>
      <c r="F4" s="7" t="s">
        <v>48</v>
      </c>
      <c r="G4" s="7" t="s">
        <v>49</v>
      </c>
      <c r="H4" s="7" t="s">
        <v>23</v>
      </c>
      <c r="I4" s="7" t="s">
        <v>24</v>
      </c>
      <c r="J4" s="7" t="s">
        <v>25</v>
      </c>
      <c r="K4" s="7" t="s">
        <v>50</v>
      </c>
      <c r="L4" s="7" t="s">
        <v>51</v>
      </c>
      <c r="M4" s="7" t="s">
        <v>52</v>
      </c>
      <c r="N4" s="7" t="s">
        <v>53</v>
      </c>
      <c r="O4" s="7" t="s">
        <v>30</v>
      </c>
      <c r="P4" s="7" t="s">
        <v>31</v>
      </c>
      <c r="Q4" s="7" t="s">
        <v>32</v>
      </c>
      <c r="R4" s="7" t="s">
        <v>54</v>
      </c>
      <c r="S4" s="7" t="s">
        <v>34</v>
      </c>
    </row>
    <row r="5" spans="2:19" ht="64" hidden="1" x14ac:dyDescent="0.2">
      <c r="B5" s="7" t="s">
        <v>55</v>
      </c>
      <c r="C5" s="7" t="s">
        <v>56</v>
      </c>
      <c r="D5" s="7" t="s">
        <v>57</v>
      </c>
      <c r="E5" s="7" t="s">
        <v>58</v>
      </c>
      <c r="F5" s="7" t="s">
        <v>59</v>
      </c>
      <c r="G5" s="7" t="s">
        <v>60</v>
      </c>
      <c r="H5" s="7" t="s">
        <v>61</v>
      </c>
      <c r="I5" s="7" t="s">
        <v>62</v>
      </c>
      <c r="J5" s="7" t="s">
        <v>63</v>
      </c>
      <c r="K5" s="7" t="s">
        <v>64</v>
      </c>
      <c r="L5" s="7" t="s">
        <v>65</v>
      </c>
      <c r="M5" s="7" t="s">
        <v>66</v>
      </c>
      <c r="N5" s="7" t="s">
        <v>67</v>
      </c>
      <c r="O5" s="7" t="s">
        <v>30</v>
      </c>
      <c r="P5" s="7" t="s">
        <v>31</v>
      </c>
      <c r="Q5" s="7" t="s">
        <v>32</v>
      </c>
      <c r="R5" s="7" t="s">
        <v>68</v>
      </c>
      <c r="S5" s="7" t="s">
        <v>69</v>
      </c>
    </row>
    <row r="6" spans="2:19" ht="64" hidden="1" x14ac:dyDescent="0.2">
      <c r="B6" s="7" t="s">
        <v>70</v>
      </c>
      <c r="C6" s="7" t="s">
        <v>71</v>
      </c>
      <c r="D6" s="7" t="s">
        <v>72</v>
      </c>
      <c r="E6" s="7" t="s">
        <v>73</v>
      </c>
      <c r="F6" s="7" t="s">
        <v>74</v>
      </c>
      <c r="G6" s="7" t="s">
        <v>75</v>
      </c>
      <c r="H6" s="7" t="s">
        <v>76</v>
      </c>
      <c r="I6" s="7" t="s">
        <v>77</v>
      </c>
      <c r="J6" s="7" t="s">
        <v>78</v>
      </c>
      <c r="K6" s="7" t="s">
        <v>79</v>
      </c>
      <c r="L6" s="7" t="s">
        <v>80</v>
      </c>
      <c r="M6" s="7" t="s">
        <v>81</v>
      </c>
      <c r="N6" s="7" t="s">
        <v>82</v>
      </c>
      <c r="O6" s="7" t="s">
        <v>30</v>
      </c>
      <c r="P6" s="7" t="s">
        <v>31</v>
      </c>
      <c r="Q6" s="7" t="s">
        <v>32</v>
      </c>
      <c r="R6" s="7" t="s">
        <v>83</v>
      </c>
      <c r="S6" s="7" t="s">
        <v>84</v>
      </c>
    </row>
    <row r="7" spans="2:19" ht="48" x14ac:dyDescent="0.2">
      <c r="B7" s="7" t="s">
        <v>85</v>
      </c>
      <c r="C7" s="7" t="s">
        <v>86</v>
      </c>
      <c r="D7" s="7" t="s">
        <v>87</v>
      </c>
      <c r="E7" s="7" t="s">
        <v>88</v>
      </c>
      <c r="F7" s="7" t="s">
        <v>89</v>
      </c>
      <c r="G7" s="7" t="s">
        <v>90</v>
      </c>
      <c r="H7" s="7" t="s">
        <v>91</v>
      </c>
      <c r="I7" s="7" t="s">
        <v>62</v>
      </c>
      <c r="J7" s="7" t="s">
        <v>63</v>
      </c>
      <c r="K7" s="7" t="s">
        <v>92</v>
      </c>
      <c r="L7" s="7" t="s">
        <v>93</v>
      </c>
      <c r="M7" s="7" t="s">
        <v>94</v>
      </c>
      <c r="N7" s="7" t="s">
        <v>95</v>
      </c>
      <c r="O7" s="7" t="s">
        <v>30</v>
      </c>
      <c r="P7" s="7" t="s">
        <v>31</v>
      </c>
      <c r="Q7" s="7" t="s">
        <v>96</v>
      </c>
      <c r="R7" s="7" t="s">
        <v>97</v>
      </c>
      <c r="S7" s="7" t="s">
        <v>69</v>
      </c>
    </row>
    <row r="8" spans="2:19" ht="64" x14ac:dyDescent="0.2">
      <c r="B8" s="7" t="s">
        <v>98</v>
      </c>
      <c r="C8" s="7" t="s">
        <v>99</v>
      </c>
      <c r="D8" s="7" t="s">
        <v>100</v>
      </c>
      <c r="E8" s="7" t="s">
        <v>101</v>
      </c>
      <c r="F8" s="7" t="s">
        <v>102</v>
      </c>
      <c r="G8" s="7" t="s">
        <v>103</v>
      </c>
      <c r="H8" s="7" t="s">
        <v>104</v>
      </c>
      <c r="I8" s="7" t="s">
        <v>62</v>
      </c>
      <c r="J8" s="7" t="s">
        <v>78</v>
      </c>
      <c r="K8" s="7" t="s">
        <v>105</v>
      </c>
      <c r="L8" s="7" t="s">
        <v>106</v>
      </c>
      <c r="M8" s="7" t="s">
        <v>107</v>
      </c>
      <c r="N8" s="7" t="s">
        <v>108</v>
      </c>
      <c r="O8" s="7" t="s">
        <v>30</v>
      </c>
      <c r="P8" s="7" t="s">
        <v>31</v>
      </c>
      <c r="Q8" s="7" t="s">
        <v>96</v>
      </c>
      <c r="R8" s="7" t="s">
        <v>109</v>
      </c>
      <c r="S8" s="7" t="s">
        <v>69</v>
      </c>
    </row>
    <row r="9" spans="2:19" ht="64" x14ac:dyDescent="0.2">
      <c r="B9" s="7" t="s">
        <v>110</v>
      </c>
      <c r="C9" s="7" t="s">
        <v>111</v>
      </c>
      <c r="D9" s="7" t="s">
        <v>112</v>
      </c>
      <c r="E9" s="7" t="s">
        <v>113</v>
      </c>
      <c r="F9" s="7" t="s">
        <v>114</v>
      </c>
      <c r="G9" s="7" t="s">
        <v>115</v>
      </c>
      <c r="H9" s="7" t="s">
        <v>116</v>
      </c>
      <c r="I9" s="7" t="s">
        <v>62</v>
      </c>
      <c r="J9" s="7" t="s">
        <v>63</v>
      </c>
      <c r="K9" s="7" t="s">
        <v>117</v>
      </c>
      <c r="L9" s="7" t="s">
        <v>118</v>
      </c>
      <c r="M9" s="7" t="s">
        <v>119</v>
      </c>
      <c r="N9" s="7" t="s">
        <v>120</v>
      </c>
      <c r="O9" s="7" t="s">
        <v>30</v>
      </c>
      <c r="P9" s="7" t="s">
        <v>31</v>
      </c>
      <c r="Q9" s="7" t="s">
        <v>96</v>
      </c>
      <c r="R9" s="7" t="s">
        <v>121</v>
      </c>
      <c r="S9" s="7" t="s">
        <v>69</v>
      </c>
    </row>
    <row r="10" spans="2:19" ht="48" hidden="1" x14ac:dyDescent="0.2">
      <c r="B10" s="7" t="s">
        <v>122</v>
      </c>
      <c r="C10" s="7" t="s">
        <v>123</v>
      </c>
      <c r="D10" s="7" t="s">
        <v>124</v>
      </c>
      <c r="E10" s="7" t="s">
        <v>125</v>
      </c>
      <c r="F10" s="7" t="s">
        <v>126</v>
      </c>
      <c r="G10" s="7" t="s">
        <v>127</v>
      </c>
      <c r="H10" s="7" t="s">
        <v>128</v>
      </c>
      <c r="I10" s="7" t="s">
        <v>77</v>
      </c>
      <c r="J10" s="7" t="s">
        <v>63</v>
      </c>
      <c r="K10" s="7" t="s">
        <v>129</v>
      </c>
      <c r="L10" s="7" t="s">
        <v>130</v>
      </c>
      <c r="M10" s="7" t="s">
        <v>131</v>
      </c>
      <c r="N10" s="7" t="s">
        <v>132</v>
      </c>
      <c r="O10" s="7" t="s">
        <v>30</v>
      </c>
      <c r="P10" s="7" t="s">
        <v>31</v>
      </c>
      <c r="Q10" s="7" t="s">
        <v>32</v>
      </c>
      <c r="R10" s="7" t="s">
        <v>133</v>
      </c>
      <c r="S10" s="7" t="s">
        <v>84</v>
      </c>
    </row>
    <row r="11" spans="2:19" ht="64" hidden="1" x14ac:dyDescent="0.2">
      <c r="B11" s="7" t="s">
        <v>134</v>
      </c>
      <c r="C11" s="7" t="s">
        <v>135</v>
      </c>
      <c r="D11" s="7" t="s">
        <v>136</v>
      </c>
      <c r="E11" s="7" t="s">
        <v>137</v>
      </c>
      <c r="F11" s="7" t="s">
        <v>138</v>
      </c>
      <c r="G11" s="7" t="s">
        <v>139</v>
      </c>
      <c r="H11" s="7" t="s">
        <v>140</v>
      </c>
      <c r="I11" s="7" t="s">
        <v>77</v>
      </c>
      <c r="J11" s="7" t="s">
        <v>63</v>
      </c>
      <c r="K11" s="7" t="s">
        <v>141</v>
      </c>
      <c r="L11" s="7" t="s">
        <v>142</v>
      </c>
      <c r="M11" s="7" t="s">
        <v>143</v>
      </c>
      <c r="N11" s="7" t="s">
        <v>144</v>
      </c>
      <c r="O11" s="7" t="s">
        <v>30</v>
      </c>
      <c r="P11" s="7" t="s">
        <v>31</v>
      </c>
      <c r="Q11" s="7" t="s">
        <v>32</v>
      </c>
      <c r="R11" s="7" t="s">
        <v>145</v>
      </c>
      <c r="S11" s="7" t="s">
        <v>69</v>
      </c>
    </row>
    <row r="12" spans="2:19" ht="48" x14ac:dyDescent="0.2">
      <c r="B12" s="7" t="s">
        <v>146</v>
      </c>
      <c r="C12" s="7" t="s">
        <v>147</v>
      </c>
      <c r="D12" s="7" t="s">
        <v>148</v>
      </c>
      <c r="E12" s="7" t="s">
        <v>149</v>
      </c>
      <c r="F12" s="7" t="s">
        <v>150</v>
      </c>
      <c r="G12" s="7" t="s">
        <v>151</v>
      </c>
      <c r="H12" s="7" t="s">
        <v>152</v>
      </c>
      <c r="I12" s="7" t="s">
        <v>77</v>
      </c>
      <c r="J12" s="7" t="s">
        <v>63</v>
      </c>
      <c r="K12" s="7" t="s">
        <v>141</v>
      </c>
      <c r="L12" s="7" t="s">
        <v>153</v>
      </c>
      <c r="M12" s="7" t="s">
        <v>154</v>
      </c>
      <c r="N12" s="7" t="s">
        <v>155</v>
      </c>
      <c r="O12" s="7" t="s">
        <v>30</v>
      </c>
      <c r="P12" s="7" t="s">
        <v>31</v>
      </c>
      <c r="Q12" s="7" t="s">
        <v>96</v>
      </c>
      <c r="R12" s="7" t="s">
        <v>156</v>
      </c>
      <c r="S12" s="7" t="s">
        <v>84</v>
      </c>
    </row>
    <row r="13" spans="2:19" ht="64" hidden="1" x14ac:dyDescent="0.2">
      <c r="B13" s="7" t="s">
        <v>157</v>
      </c>
      <c r="C13" s="7" t="s">
        <v>158</v>
      </c>
      <c r="D13" s="7" t="s">
        <v>159</v>
      </c>
      <c r="E13" s="7" t="s">
        <v>160</v>
      </c>
      <c r="F13" s="7" t="s">
        <v>161</v>
      </c>
      <c r="G13" s="7" t="s">
        <v>162</v>
      </c>
      <c r="H13" s="7" t="s">
        <v>163</v>
      </c>
      <c r="I13" s="7" t="s">
        <v>77</v>
      </c>
      <c r="J13" s="7" t="s">
        <v>78</v>
      </c>
      <c r="K13" s="7" t="s">
        <v>164</v>
      </c>
      <c r="L13" s="7" t="s">
        <v>165</v>
      </c>
      <c r="M13" s="7" t="s">
        <v>166</v>
      </c>
      <c r="N13" s="7" t="s">
        <v>167</v>
      </c>
      <c r="O13" s="7" t="s">
        <v>30</v>
      </c>
      <c r="P13" s="7" t="s">
        <v>31</v>
      </c>
      <c r="Q13" s="7" t="s">
        <v>32</v>
      </c>
      <c r="R13" s="7" t="s">
        <v>168</v>
      </c>
      <c r="S13" s="7" t="s">
        <v>84</v>
      </c>
    </row>
    <row r="14" spans="2:19" ht="64" x14ac:dyDescent="0.2">
      <c r="B14" s="7" t="s">
        <v>169</v>
      </c>
      <c r="C14" s="7" t="s">
        <v>170</v>
      </c>
      <c r="D14" s="7" t="s">
        <v>171</v>
      </c>
      <c r="E14" s="7" t="s">
        <v>172</v>
      </c>
      <c r="F14" s="7" t="s">
        <v>173</v>
      </c>
      <c r="G14" s="7" t="s">
        <v>174</v>
      </c>
      <c r="H14" s="7" t="s">
        <v>175</v>
      </c>
      <c r="I14" s="7" t="s">
        <v>24</v>
      </c>
      <c r="J14" s="7" t="s">
        <v>25</v>
      </c>
      <c r="K14" s="7" t="s">
        <v>176</v>
      </c>
      <c r="L14" s="7" t="s">
        <v>177</v>
      </c>
      <c r="M14" s="7" t="s">
        <v>178</v>
      </c>
      <c r="N14" s="7" t="s">
        <v>179</v>
      </c>
      <c r="O14" s="7" t="s">
        <v>30</v>
      </c>
      <c r="P14" s="7" t="s">
        <v>31</v>
      </c>
      <c r="Q14" s="7" t="s">
        <v>96</v>
      </c>
      <c r="R14" s="7" t="s">
        <v>180</v>
      </c>
      <c r="S14" s="7" t="s">
        <v>34</v>
      </c>
    </row>
    <row r="15" spans="2:19" ht="96" hidden="1" x14ac:dyDescent="0.2">
      <c r="B15" s="7" t="s">
        <v>181</v>
      </c>
      <c r="C15" s="7" t="s">
        <v>182</v>
      </c>
      <c r="D15" s="7" t="s">
        <v>183</v>
      </c>
      <c r="E15" s="7" t="s">
        <v>184</v>
      </c>
      <c r="F15" s="7" t="s">
        <v>185</v>
      </c>
      <c r="G15" s="7" t="s">
        <v>186</v>
      </c>
      <c r="H15" s="7" t="s">
        <v>187</v>
      </c>
      <c r="I15" s="7" t="s">
        <v>77</v>
      </c>
      <c r="J15" s="7" t="s">
        <v>78</v>
      </c>
      <c r="K15" s="7" t="s">
        <v>188</v>
      </c>
      <c r="L15" s="7" t="s">
        <v>189</v>
      </c>
      <c r="M15" s="7" t="s">
        <v>190</v>
      </c>
      <c r="N15" s="7" t="s">
        <v>191</v>
      </c>
      <c r="O15" s="7" t="s">
        <v>30</v>
      </c>
      <c r="P15" s="7" t="s">
        <v>31</v>
      </c>
      <c r="Q15" s="7" t="s">
        <v>32</v>
      </c>
      <c r="R15" s="7" t="s">
        <v>192</v>
      </c>
      <c r="S15" s="7" t="s">
        <v>84</v>
      </c>
    </row>
    <row r="16" spans="2:19" ht="80" x14ac:dyDescent="0.2">
      <c r="B16" s="7" t="s">
        <v>193</v>
      </c>
      <c r="C16" s="7" t="s">
        <v>194</v>
      </c>
      <c r="D16" s="7" t="s">
        <v>195</v>
      </c>
      <c r="E16" s="7" t="s">
        <v>196</v>
      </c>
      <c r="F16" s="7" t="s">
        <v>197</v>
      </c>
      <c r="G16" s="7" t="s">
        <v>198</v>
      </c>
      <c r="H16" s="7" t="s">
        <v>199</v>
      </c>
      <c r="I16" s="7" t="s">
        <v>77</v>
      </c>
      <c r="J16" s="7" t="s">
        <v>25</v>
      </c>
      <c r="K16" s="7" t="s">
        <v>200</v>
      </c>
      <c r="L16" s="7" t="s">
        <v>201</v>
      </c>
      <c r="M16" s="7" t="s">
        <v>202</v>
      </c>
      <c r="N16" s="7" t="s">
        <v>203</v>
      </c>
      <c r="O16" s="7" t="s">
        <v>30</v>
      </c>
      <c r="P16" s="7" t="s">
        <v>31</v>
      </c>
      <c r="Q16" s="7" t="s">
        <v>204</v>
      </c>
      <c r="R16" s="7" t="s">
        <v>205</v>
      </c>
      <c r="S16" s="7" t="s">
        <v>34</v>
      </c>
    </row>
    <row r="17" spans="2:19" ht="64" hidden="1" x14ac:dyDescent="0.2">
      <c r="B17" s="7" t="s">
        <v>206</v>
      </c>
      <c r="C17" s="7" t="s">
        <v>194</v>
      </c>
      <c r="D17" s="7" t="s">
        <v>207</v>
      </c>
      <c r="E17" s="7" t="s">
        <v>208</v>
      </c>
      <c r="F17" s="7" t="s">
        <v>209</v>
      </c>
      <c r="G17" s="7" t="s">
        <v>210</v>
      </c>
      <c r="H17" s="7" t="s">
        <v>211</v>
      </c>
      <c r="I17" s="7" t="s">
        <v>62</v>
      </c>
      <c r="J17" s="7" t="s">
        <v>78</v>
      </c>
      <c r="K17" s="7" t="s">
        <v>212</v>
      </c>
      <c r="L17" s="7" t="s">
        <v>213</v>
      </c>
      <c r="M17" s="7" t="s">
        <v>214</v>
      </c>
      <c r="N17" s="7" t="s">
        <v>215</v>
      </c>
      <c r="O17" s="7" t="s">
        <v>30</v>
      </c>
      <c r="P17" s="7" t="s">
        <v>31</v>
      </c>
      <c r="Q17" s="7" t="s">
        <v>32</v>
      </c>
      <c r="R17" s="7" t="s">
        <v>216</v>
      </c>
      <c r="S17" s="7" t="s">
        <v>69</v>
      </c>
    </row>
    <row r="18" spans="2:19" ht="64" hidden="1" x14ac:dyDescent="0.2">
      <c r="B18" s="7" t="s">
        <v>217</v>
      </c>
      <c r="C18" s="7" t="s">
        <v>218</v>
      </c>
      <c r="D18" s="7" t="s">
        <v>219</v>
      </c>
      <c r="E18" s="7" t="s">
        <v>220</v>
      </c>
      <c r="F18" s="7" t="s">
        <v>221</v>
      </c>
      <c r="G18" s="7" t="s">
        <v>222</v>
      </c>
      <c r="H18" s="7" t="s">
        <v>223</v>
      </c>
      <c r="I18" s="7" t="s">
        <v>62</v>
      </c>
      <c r="J18" s="7" t="s">
        <v>25</v>
      </c>
      <c r="K18" s="7" t="s">
        <v>224</v>
      </c>
      <c r="L18" s="7" t="s">
        <v>225</v>
      </c>
      <c r="M18" s="7" t="s">
        <v>226</v>
      </c>
      <c r="N18" s="7" t="s">
        <v>227</v>
      </c>
      <c r="O18" s="7" t="s">
        <v>30</v>
      </c>
      <c r="P18" s="7" t="s">
        <v>31</v>
      </c>
      <c r="Q18" s="7" t="s">
        <v>32</v>
      </c>
      <c r="R18" s="7" t="s">
        <v>228</v>
      </c>
      <c r="S18" s="7" t="s">
        <v>69</v>
      </c>
    </row>
    <row r="19" spans="2:19" ht="64" hidden="1" x14ac:dyDescent="0.2">
      <c r="B19" s="7" t="s">
        <v>229</v>
      </c>
      <c r="C19" s="7" t="s">
        <v>230</v>
      </c>
      <c r="D19" s="7" t="s">
        <v>231</v>
      </c>
      <c r="E19" s="7" t="s">
        <v>232</v>
      </c>
      <c r="F19" s="7" t="s">
        <v>233</v>
      </c>
      <c r="G19" s="7" t="s">
        <v>234</v>
      </c>
      <c r="H19" s="7" t="s">
        <v>235</v>
      </c>
      <c r="I19" s="7" t="s">
        <v>24</v>
      </c>
      <c r="J19" s="7" t="s">
        <v>25</v>
      </c>
      <c r="K19" s="7" t="s">
        <v>236</v>
      </c>
      <c r="L19" s="7" t="s">
        <v>237</v>
      </c>
      <c r="M19" s="7" t="s">
        <v>238</v>
      </c>
      <c r="N19" s="7" t="s">
        <v>239</v>
      </c>
      <c r="O19" s="7" t="s">
        <v>30</v>
      </c>
      <c r="P19" s="7" t="s">
        <v>31</v>
      </c>
      <c r="Q19" s="7" t="s">
        <v>32</v>
      </c>
      <c r="R19" s="7" t="s">
        <v>240</v>
      </c>
      <c r="S19" s="7" t="s">
        <v>34</v>
      </c>
    </row>
    <row r="20" spans="2:19" ht="64" hidden="1" x14ac:dyDescent="0.2">
      <c r="B20" s="7" t="s">
        <v>241</v>
      </c>
      <c r="C20" s="7" t="s">
        <v>242</v>
      </c>
      <c r="D20" s="7" t="s">
        <v>243</v>
      </c>
      <c r="E20" s="7" t="s">
        <v>244</v>
      </c>
      <c r="F20" s="7" t="s">
        <v>245</v>
      </c>
      <c r="G20" s="7" t="s">
        <v>246</v>
      </c>
      <c r="H20" s="7" t="s">
        <v>235</v>
      </c>
      <c r="I20" s="7" t="s">
        <v>24</v>
      </c>
      <c r="J20" s="7" t="s">
        <v>25</v>
      </c>
      <c r="K20" s="7" t="s">
        <v>247</v>
      </c>
      <c r="L20" s="7" t="s">
        <v>248</v>
      </c>
      <c r="M20" s="7" t="s">
        <v>249</v>
      </c>
      <c r="N20" s="7" t="s">
        <v>250</v>
      </c>
      <c r="O20" s="7" t="s">
        <v>30</v>
      </c>
      <c r="P20" s="7" t="s">
        <v>31</v>
      </c>
      <c r="Q20" s="7" t="s">
        <v>32</v>
      </c>
      <c r="R20" s="7" t="s">
        <v>251</v>
      </c>
      <c r="S20" s="7" t="s">
        <v>34</v>
      </c>
    </row>
    <row r="21" spans="2:19" ht="64" hidden="1" x14ac:dyDescent="0.2">
      <c r="B21" s="7" t="s">
        <v>252</v>
      </c>
      <c r="C21" s="7" t="s">
        <v>253</v>
      </c>
      <c r="D21" s="7" t="s">
        <v>254</v>
      </c>
      <c r="E21" s="7" t="s">
        <v>255</v>
      </c>
      <c r="F21" s="7" t="s">
        <v>256</v>
      </c>
      <c r="G21" s="7" t="s">
        <v>257</v>
      </c>
      <c r="H21" s="7" t="s">
        <v>258</v>
      </c>
      <c r="I21" s="7" t="s">
        <v>77</v>
      </c>
      <c r="J21" s="7" t="s">
        <v>25</v>
      </c>
      <c r="K21" s="7" t="s">
        <v>259</v>
      </c>
      <c r="L21" s="7" t="s">
        <v>260</v>
      </c>
      <c r="M21" s="7" t="s">
        <v>261</v>
      </c>
      <c r="N21" s="7" t="s">
        <v>262</v>
      </c>
      <c r="O21" s="7" t="s">
        <v>30</v>
      </c>
      <c r="P21" s="7" t="s">
        <v>31</v>
      </c>
      <c r="Q21" s="7" t="s">
        <v>32</v>
      </c>
      <c r="R21" s="7" t="s">
        <v>263</v>
      </c>
      <c r="S21" s="7" t="s">
        <v>84</v>
      </c>
    </row>
    <row r="22" spans="2:19" ht="96" hidden="1" x14ac:dyDescent="0.2">
      <c r="B22" s="7" t="s">
        <v>264</v>
      </c>
      <c r="C22" s="7" t="s">
        <v>265</v>
      </c>
      <c r="D22" s="7" t="s">
        <v>266</v>
      </c>
      <c r="E22" s="7" t="s">
        <v>267</v>
      </c>
      <c r="F22" s="7" t="s">
        <v>268</v>
      </c>
      <c r="G22" s="7" t="s">
        <v>269</v>
      </c>
      <c r="H22" s="7" t="s">
        <v>270</v>
      </c>
      <c r="I22" s="7" t="s">
        <v>77</v>
      </c>
      <c r="J22" s="7" t="s">
        <v>63</v>
      </c>
      <c r="K22" s="7" t="s">
        <v>271</v>
      </c>
      <c r="L22" s="7" t="s">
        <v>272</v>
      </c>
      <c r="M22" s="7" t="s">
        <v>273</v>
      </c>
      <c r="N22" s="7" t="s">
        <v>274</v>
      </c>
      <c r="O22" s="7" t="s">
        <v>30</v>
      </c>
      <c r="P22" s="7" t="s">
        <v>31</v>
      </c>
      <c r="Q22" s="7" t="s">
        <v>32</v>
      </c>
      <c r="R22" s="7" t="s">
        <v>275</v>
      </c>
      <c r="S22" s="7" t="s">
        <v>69</v>
      </c>
    </row>
    <row r="23" spans="2:19" ht="64" hidden="1" x14ac:dyDescent="0.2">
      <c r="B23" s="7" t="s">
        <v>276</v>
      </c>
      <c r="C23" s="7" t="s">
        <v>277</v>
      </c>
      <c r="D23" s="7" t="s">
        <v>278</v>
      </c>
      <c r="E23" s="7" t="s">
        <v>279</v>
      </c>
      <c r="F23" s="7" t="s">
        <v>280</v>
      </c>
      <c r="G23" s="7" t="s">
        <v>281</v>
      </c>
      <c r="H23" s="7" t="s">
        <v>282</v>
      </c>
      <c r="I23" s="7" t="s">
        <v>77</v>
      </c>
      <c r="J23" s="7" t="s">
        <v>78</v>
      </c>
      <c r="K23" s="7" t="s">
        <v>283</v>
      </c>
      <c r="L23" s="7" t="s">
        <v>284</v>
      </c>
      <c r="M23" s="7" t="s">
        <v>285</v>
      </c>
      <c r="N23" s="7" t="s">
        <v>286</v>
      </c>
      <c r="O23" s="7" t="s">
        <v>30</v>
      </c>
      <c r="P23" s="7" t="s">
        <v>31</v>
      </c>
      <c r="Q23" s="7" t="s">
        <v>32</v>
      </c>
      <c r="R23" s="7" t="s">
        <v>287</v>
      </c>
      <c r="S23" s="7" t="s">
        <v>84</v>
      </c>
    </row>
    <row r="24" spans="2:19" ht="64" hidden="1" x14ac:dyDescent="0.2">
      <c r="B24" s="7" t="s">
        <v>288</v>
      </c>
      <c r="C24" s="7" t="s">
        <v>289</v>
      </c>
      <c r="D24" s="7" t="s">
        <v>290</v>
      </c>
      <c r="E24" s="7" t="s">
        <v>291</v>
      </c>
      <c r="F24" s="7" t="s">
        <v>292</v>
      </c>
      <c r="G24" s="7" t="s">
        <v>293</v>
      </c>
      <c r="H24" s="7" t="s">
        <v>282</v>
      </c>
      <c r="I24" s="7" t="s">
        <v>77</v>
      </c>
      <c r="J24" s="7" t="s">
        <v>78</v>
      </c>
      <c r="K24" s="7" t="s">
        <v>294</v>
      </c>
      <c r="L24" s="7" t="s">
        <v>295</v>
      </c>
      <c r="M24" s="7" t="s">
        <v>296</v>
      </c>
      <c r="N24" s="7" t="s">
        <v>297</v>
      </c>
      <c r="O24" s="7" t="s">
        <v>30</v>
      </c>
      <c r="P24" s="7" t="s">
        <v>31</v>
      </c>
      <c r="Q24" s="7" t="s">
        <v>32</v>
      </c>
      <c r="R24" s="7" t="s">
        <v>298</v>
      </c>
      <c r="S24" s="7" t="s">
        <v>84</v>
      </c>
    </row>
    <row r="25" spans="2:19" ht="64" hidden="1" x14ac:dyDescent="0.2">
      <c r="B25" s="7" t="s">
        <v>299</v>
      </c>
      <c r="C25" s="7" t="s">
        <v>300</v>
      </c>
      <c r="D25" s="7" t="s">
        <v>301</v>
      </c>
      <c r="E25" s="7" t="s">
        <v>302</v>
      </c>
      <c r="F25" s="7" t="s">
        <v>303</v>
      </c>
      <c r="G25" s="7" t="s">
        <v>304</v>
      </c>
      <c r="H25" s="7" t="s">
        <v>305</v>
      </c>
      <c r="I25" s="7" t="s">
        <v>77</v>
      </c>
      <c r="J25" s="7" t="s">
        <v>78</v>
      </c>
      <c r="K25" s="7" t="s">
        <v>306</v>
      </c>
      <c r="L25" s="7" t="s">
        <v>307</v>
      </c>
      <c r="M25" s="7" t="s">
        <v>308</v>
      </c>
      <c r="N25" s="7" t="s">
        <v>309</v>
      </c>
      <c r="O25" s="7" t="s">
        <v>30</v>
      </c>
      <c r="P25" s="7" t="s">
        <v>31</v>
      </c>
      <c r="Q25" s="7" t="s">
        <v>32</v>
      </c>
      <c r="R25" s="7" t="s">
        <v>310</v>
      </c>
      <c r="S25" s="7" t="s">
        <v>84</v>
      </c>
    </row>
    <row r="26" spans="2:19" ht="80" hidden="1" x14ac:dyDescent="0.2">
      <c r="B26" s="7" t="s">
        <v>311</v>
      </c>
      <c r="C26" s="7" t="s">
        <v>312</v>
      </c>
      <c r="D26" s="7" t="s">
        <v>313</v>
      </c>
      <c r="E26" s="7" t="s">
        <v>314</v>
      </c>
      <c r="F26" s="7" t="s">
        <v>315</v>
      </c>
      <c r="G26" s="7" t="s">
        <v>316</v>
      </c>
      <c r="H26" s="7" t="s">
        <v>305</v>
      </c>
      <c r="I26" s="7" t="s">
        <v>77</v>
      </c>
      <c r="J26" s="7" t="s">
        <v>78</v>
      </c>
      <c r="K26" s="7" t="s">
        <v>317</v>
      </c>
      <c r="L26" s="7" t="s">
        <v>318</v>
      </c>
      <c r="M26" s="7" t="s">
        <v>319</v>
      </c>
      <c r="N26" s="7" t="s">
        <v>320</v>
      </c>
      <c r="O26" s="7" t="s">
        <v>30</v>
      </c>
      <c r="P26" s="7" t="s">
        <v>31</v>
      </c>
      <c r="Q26" s="7" t="s">
        <v>32</v>
      </c>
      <c r="R26" s="7" t="s">
        <v>321</v>
      </c>
      <c r="S26" s="7" t="s">
        <v>84</v>
      </c>
    </row>
    <row r="27" spans="2:19" ht="64" hidden="1" x14ac:dyDescent="0.2">
      <c r="B27" s="7" t="s">
        <v>322</v>
      </c>
      <c r="C27" s="7" t="s">
        <v>323</v>
      </c>
      <c r="D27" s="7" t="s">
        <v>324</v>
      </c>
      <c r="E27" s="7" t="s">
        <v>325</v>
      </c>
      <c r="F27" s="7" t="s">
        <v>326</v>
      </c>
      <c r="G27" s="7" t="s">
        <v>327</v>
      </c>
      <c r="H27" s="7" t="s">
        <v>328</v>
      </c>
      <c r="I27" s="7" t="s">
        <v>62</v>
      </c>
      <c r="J27" s="7" t="s">
        <v>63</v>
      </c>
      <c r="K27" s="7" t="s">
        <v>329</v>
      </c>
      <c r="L27" s="7" t="s">
        <v>330</v>
      </c>
      <c r="M27" s="7" t="s">
        <v>331</v>
      </c>
      <c r="N27" s="7" t="s">
        <v>332</v>
      </c>
      <c r="O27" s="7" t="s">
        <v>30</v>
      </c>
      <c r="P27" s="7" t="s">
        <v>31</v>
      </c>
      <c r="Q27" s="7" t="s">
        <v>32</v>
      </c>
      <c r="R27" s="7" t="s">
        <v>333</v>
      </c>
      <c r="S27" s="7" t="s">
        <v>69</v>
      </c>
    </row>
    <row r="28" spans="2:19" ht="96" hidden="1" x14ac:dyDescent="0.2">
      <c r="B28" s="7" t="s">
        <v>334</v>
      </c>
      <c r="C28" s="7" t="s">
        <v>335</v>
      </c>
      <c r="D28" s="7" t="s">
        <v>336</v>
      </c>
      <c r="E28" s="7" t="s">
        <v>337</v>
      </c>
      <c r="F28" s="7" t="s">
        <v>338</v>
      </c>
      <c r="G28" s="7" t="s">
        <v>339</v>
      </c>
      <c r="H28" s="7" t="s">
        <v>340</v>
      </c>
      <c r="I28" s="7" t="s">
        <v>77</v>
      </c>
      <c r="J28" s="7" t="s">
        <v>25</v>
      </c>
      <c r="K28" s="7" t="s">
        <v>341</v>
      </c>
      <c r="L28" s="7" t="s">
        <v>342</v>
      </c>
      <c r="M28" s="7" t="s">
        <v>343</v>
      </c>
      <c r="N28" s="7" t="s">
        <v>344</v>
      </c>
      <c r="O28" s="7" t="s">
        <v>30</v>
      </c>
      <c r="P28" s="7" t="s">
        <v>31</v>
      </c>
      <c r="Q28" s="7" t="s">
        <v>32</v>
      </c>
      <c r="R28" s="7" t="s">
        <v>345</v>
      </c>
      <c r="S28" s="7" t="s">
        <v>84</v>
      </c>
    </row>
    <row r="29" spans="2:19" ht="112" hidden="1" x14ac:dyDescent="0.2">
      <c r="B29" s="7" t="s">
        <v>346</v>
      </c>
      <c r="C29" s="7" t="s">
        <v>347</v>
      </c>
      <c r="D29" s="7" t="s">
        <v>348</v>
      </c>
      <c r="E29" s="7" t="s">
        <v>349</v>
      </c>
      <c r="F29" s="7" t="s">
        <v>350</v>
      </c>
      <c r="G29" s="7" t="s">
        <v>351</v>
      </c>
      <c r="H29" s="7" t="s">
        <v>352</v>
      </c>
      <c r="I29" s="7" t="s">
        <v>24</v>
      </c>
      <c r="J29" s="7" t="s">
        <v>25</v>
      </c>
      <c r="K29" s="7" t="s">
        <v>353</v>
      </c>
      <c r="L29" s="7" t="s">
        <v>354</v>
      </c>
      <c r="M29" s="7" t="s">
        <v>355</v>
      </c>
      <c r="N29" s="7" t="s">
        <v>356</v>
      </c>
      <c r="O29" s="7" t="s">
        <v>30</v>
      </c>
      <c r="P29" s="7" t="s">
        <v>31</v>
      </c>
      <c r="Q29" s="7" t="s">
        <v>32</v>
      </c>
      <c r="R29" s="7" t="s">
        <v>357</v>
      </c>
      <c r="S29" s="7" t="s">
        <v>34</v>
      </c>
    </row>
    <row r="30" spans="2:19" ht="80" hidden="1" x14ac:dyDescent="0.2">
      <c r="B30" s="7" t="s">
        <v>358</v>
      </c>
      <c r="C30" s="7" t="s">
        <v>359</v>
      </c>
      <c r="D30" s="7" t="s">
        <v>360</v>
      </c>
      <c r="E30" s="7" t="s">
        <v>361</v>
      </c>
      <c r="F30" s="7" t="s">
        <v>362</v>
      </c>
      <c r="G30" s="7" t="s">
        <v>363</v>
      </c>
      <c r="H30" s="7" t="s">
        <v>364</v>
      </c>
      <c r="I30" s="7" t="s">
        <v>24</v>
      </c>
      <c r="J30" s="7" t="s">
        <v>25</v>
      </c>
      <c r="K30" s="7" t="s">
        <v>365</v>
      </c>
      <c r="L30" s="7" t="s">
        <v>366</v>
      </c>
      <c r="M30" s="7" t="s">
        <v>367</v>
      </c>
      <c r="N30" s="7" t="s">
        <v>368</v>
      </c>
      <c r="O30" s="7" t="s">
        <v>30</v>
      </c>
      <c r="P30" s="7" t="s">
        <v>31</v>
      </c>
      <c r="Q30" s="7" t="s">
        <v>32</v>
      </c>
      <c r="R30" s="7" t="s">
        <v>369</v>
      </c>
      <c r="S30" s="7" t="s">
        <v>34</v>
      </c>
    </row>
    <row r="31" spans="2:19" ht="96" hidden="1" x14ac:dyDescent="0.2">
      <c r="B31" s="7" t="s">
        <v>370</v>
      </c>
      <c r="C31" s="7" t="s">
        <v>371</v>
      </c>
      <c r="D31" s="7" t="s">
        <v>372</v>
      </c>
      <c r="E31" s="7" t="s">
        <v>373</v>
      </c>
      <c r="F31" s="7" t="s">
        <v>374</v>
      </c>
      <c r="G31" s="7" t="s">
        <v>375</v>
      </c>
      <c r="H31" s="7" t="s">
        <v>376</v>
      </c>
      <c r="I31" s="7" t="s">
        <v>77</v>
      </c>
      <c r="J31" s="7" t="s">
        <v>25</v>
      </c>
      <c r="K31" s="7" t="s">
        <v>377</v>
      </c>
      <c r="L31" s="7" t="s">
        <v>378</v>
      </c>
      <c r="M31" s="7" t="s">
        <v>379</v>
      </c>
      <c r="N31" s="7" t="s">
        <v>380</v>
      </c>
      <c r="O31" s="7" t="s">
        <v>30</v>
      </c>
      <c r="P31" s="7" t="s">
        <v>31</v>
      </c>
      <c r="Q31" s="7" t="s">
        <v>32</v>
      </c>
      <c r="R31" s="7" t="s">
        <v>381</v>
      </c>
      <c r="S31" s="7" t="s">
        <v>84</v>
      </c>
    </row>
    <row r="32" spans="2:19" ht="80" hidden="1" x14ac:dyDescent="0.2">
      <c r="B32" s="7" t="s">
        <v>382</v>
      </c>
      <c r="C32" s="7" t="s">
        <v>383</v>
      </c>
      <c r="D32" s="7" t="s">
        <v>384</v>
      </c>
      <c r="E32" s="7" t="s">
        <v>385</v>
      </c>
      <c r="F32" s="7" t="s">
        <v>386</v>
      </c>
      <c r="G32" s="7" t="s">
        <v>387</v>
      </c>
      <c r="H32" s="7" t="s">
        <v>388</v>
      </c>
      <c r="I32" s="7" t="s">
        <v>77</v>
      </c>
      <c r="J32" s="7" t="s">
        <v>78</v>
      </c>
      <c r="K32" s="7" t="s">
        <v>389</v>
      </c>
      <c r="L32" s="7" t="s">
        <v>390</v>
      </c>
      <c r="M32" s="7" t="s">
        <v>391</v>
      </c>
      <c r="N32" s="7" t="s">
        <v>392</v>
      </c>
      <c r="O32" s="7" t="s">
        <v>30</v>
      </c>
      <c r="P32" s="7" t="s">
        <v>31</v>
      </c>
      <c r="Q32" s="7" t="s">
        <v>32</v>
      </c>
      <c r="R32" s="7" t="s">
        <v>393</v>
      </c>
      <c r="S32" s="7" t="s">
        <v>84</v>
      </c>
    </row>
    <row r="33" spans="2:19" ht="80" hidden="1" x14ac:dyDescent="0.2">
      <c r="B33" s="7" t="s">
        <v>394</v>
      </c>
      <c r="C33" s="7" t="s">
        <v>395</v>
      </c>
      <c r="D33" s="7" t="s">
        <v>396</v>
      </c>
      <c r="E33" s="7" t="s">
        <v>397</v>
      </c>
      <c r="F33" s="7" t="s">
        <v>398</v>
      </c>
      <c r="G33" s="7" t="s">
        <v>399</v>
      </c>
      <c r="H33" s="7" t="s">
        <v>400</v>
      </c>
      <c r="I33" s="7" t="s">
        <v>77</v>
      </c>
      <c r="J33" s="7" t="s">
        <v>78</v>
      </c>
      <c r="K33" s="7" t="s">
        <v>401</v>
      </c>
      <c r="L33" s="7" t="s">
        <v>402</v>
      </c>
      <c r="M33" s="7" t="s">
        <v>403</v>
      </c>
      <c r="N33" s="7" t="s">
        <v>404</v>
      </c>
      <c r="O33" s="7" t="s">
        <v>30</v>
      </c>
      <c r="P33" s="7" t="s">
        <v>31</v>
      </c>
      <c r="Q33" s="7" t="s">
        <v>32</v>
      </c>
      <c r="R33" s="7" t="s">
        <v>405</v>
      </c>
      <c r="S33" s="7" t="s">
        <v>84</v>
      </c>
    </row>
    <row r="34" spans="2:19" ht="96" hidden="1" x14ac:dyDescent="0.2">
      <c r="B34" s="7" t="s">
        <v>406</v>
      </c>
      <c r="C34" s="7" t="s">
        <v>407</v>
      </c>
      <c r="D34" s="7" t="s">
        <v>408</v>
      </c>
      <c r="E34" s="7" t="s">
        <v>409</v>
      </c>
      <c r="F34" s="7" t="s">
        <v>410</v>
      </c>
      <c r="G34" s="7" t="s">
        <v>411</v>
      </c>
      <c r="H34" s="7" t="s">
        <v>412</v>
      </c>
      <c r="I34" s="7" t="s">
        <v>77</v>
      </c>
      <c r="J34" s="7" t="s">
        <v>25</v>
      </c>
      <c r="K34" s="7" t="s">
        <v>413</v>
      </c>
      <c r="L34" s="7" t="s">
        <v>414</v>
      </c>
      <c r="M34" s="7" t="s">
        <v>415</v>
      </c>
      <c r="N34" s="7" t="s">
        <v>416</v>
      </c>
      <c r="O34" s="7" t="s">
        <v>30</v>
      </c>
      <c r="P34" s="7" t="s">
        <v>31</v>
      </c>
      <c r="Q34" s="7" t="s">
        <v>32</v>
      </c>
      <c r="R34" s="7" t="s">
        <v>417</v>
      </c>
      <c r="S34" s="7" t="s">
        <v>84</v>
      </c>
    </row>
    <row r="35" spans="2:19" ht="96" x14ac:dyDescent="0.2">
      <c r="B35" s="7" t="s">
        <v>418</v>
      </c>
      <c r="C35" s="7" t="s">
        <v>419</v>
      </c>
      <c r="D35" s="7" t="s">
        <v>420</v>
      </c>
      <c r="E35" s="7" t="s">
        <v>421</v>
      </c>
      <c r="F35" s="7" t="s">
        <v>422</v>
      </c>
      <c r="G35" s="7" t="s">
        <v>423</v>
      </c>
      <c r="H35" s="7" t="s">
        <v>424</v>
      </c>
      <c r="I35" s="7" t="s">
        <v>77</v>
      </c>
      <c r="J35" s="7" t="s">
        <v>78</v>
      </c>
      <c r="K35" s="7" t="s">
        <v>425</v>
      </c>
      <c r="L35" s="7" t="s">
        <v>426</v>
      </c>
      <c r="M35" s="7" t="s">
        <v>427</v>
      </c>
      <c r="N35" s="7" t="s">
        <v>428</v>
      </c>
      <c r="O35" s="7" t="s">
        <v>30</v>
      </c>
      <c r="P35" s="7" t="s">
        <v>31</v>
      </c>
      <c r="Q35" s="7" t="s">
        <v>204</v>
      </c>
      <c r="R35" s="7" t="s">
        <v>429</v>
      </c>
      <c r="S35" s="7" t="s">
        <v>84</v>
      </c>
    </row>
    <row r="36" spans="2:19" ht="80" hidden="1" x14ac:dyDescent="0.2">
      <c r="B36" s="7" t="s">
        <v>430</v>
      </c>
      <c r="C36" s="7" t="s">
        <v>431</v>
      </c>
      <c r="D36" s="7" t="s">
        <v>432</v>
      </c>
      <c r="E36" s="7" t="s">
        <v>433</v>
      </c>
      <c r="F36" s="7" t="s">
        <v>434</v>
      </c>
      <c r="G36" s="7" t="s">
        <v>435</v>
      </c>
      <c r="H36" s="7" t="s">
        <v>436</v>
      </c>
      <c r="I36" s="7" t="s">
        <v>24</v>
      </c>
      <c r="J36" s="7" t="s">
        <v>25</v>
      </c>
      <c r="K36" s="7" t="s">
        <v>437</v>
      </c>
      <c r="L36" s="7" t="s">
        <v>438</v>
      </c>
      <c r="M36" s="7" t="s">
        <v>439</v>
      </c>
      <c r="N36" s="7" t="s">
        <v>440</v>
      </c>
      <c r="O36" s="7" t="s">
        <v>30</v>
      </c>
      <c r="P36" s="7" t="s">
        <v>31</v>
      </c>
      <c r="Q36" s="7" t="s">
        <v>32</v>
      </c>
      <c r="R36" s="7" t="s">
        <v>441</v>
      </c>
      <c r="S36" s="7" t="s">
        <v>34</v>
      </c>
    </row>
    <row r="37" spans="2:19" ht="64" x14ac:dyDescent="0.2">
      <c r="B37" s="7" t="s">
        <v>442</v>
      </c>
      <c r="C37" s="7" t="s">
        <v>443</v>
      </c>
      <c r="D37" s="7" t="s">
        <v>444</v>
      </c>
      <c r="E37" s="7" t="s">
        <v>445</v>
      </c>
      <c r="F37" s="7" t="s">
        <v>446</v>
      </c>
      <c r="G37" s="7" t="s">
        <v>447</v>
      </c>
      <c r="H37" s="7" t="s">
        <v>448</v>
      </c>
      <c r="I37" s="7" t="s">
        <v>24</v>
      </c>
      <c r="J37" s="7" t="s">
        <v>25</v>
      </c>
      <c r="K37" s="7" t="s">
        <v>449</v>
      </c>
      <c r="L37" s="7" t="s">
        <v>450</v>
      </c>
      <c r="M37" s="7" t="s">
        <v>451</v>
      </c>
      <c r="N37" s="7" t="s">
        <v>452</v>
      </c>
      <c r="O37" s="7" t="s">
        <v>30</v>
      </c>
      <c r="P37" s="7" t="s">
        <v>31</v>
      </c>
      <c r="Q37" s="7" t="s">
        <v>453</v>
      </c>
      <c r="R37" s="7" t="s">
        <v>454</v>
      </c>
      <c r="S37" s="7" t="s">
        <v>84</v>
      </c>
    </row>
    <row r="38" spans="2:19" ht="80" hidden="1" x14ac:dyDescent="0.2">
      <c r="B38" s="7" t="s">
        <v>455</v>
      </c>
      <c r="C38" s="7" t="s">
        <v>456</v>
      </c>
      <c r="D38" s="7" t="s">
        <v>457</v>
      </c>
      <c r="E38" s="7" t="s">
        <v>458</v>
      </c>
      <c r="F38" s="7" t="s">
        <v>459</v>
      </c>
      <c r="G38" s="7" t="s">
        <v>460</v>
      </c>
      <c r="H38" s="7" t="s">
        <v>461</v>
      </c>
      <c r="I38" s="7" t="s">
        <v>77</v>
      </c>
      <c r="J38" s="7" t="s">
        <v>78</v>
      </c>
      <c r="K38" s="7" t="s">
        <v>462</v>
      </c>
      <c r="L38" s="7" t="s">
        <v>463</v>
      </c>
      <c r="M38" s="7" t="s">
        <v>464</v>
      </c>
      <c r="N38" s="7" t="s">
        <v>465</v>
      </c>
      <c r="O38" s="7" t="s">
        <v>30</v>
      </c>
      <c r="P38" s="7" t="s">
        <v>31</v>
      </c>
      <c r="Q38" s="7" t="s">
        <v>32</v>
      </c>
      <c r="R38" s="7" t="s">
        <v>466</v>
      </c>
      <c r="S38" s="7" t="s">
        <v>84</v>
      </c>
    </row>
    <row r="39" spans="2:19" ht="64" x14ac:dyDescent="0.2">
      <c r="B39" s="7" t="s">
        <v>467</v>
      </c>
      <c r="C39" s="7" t="s">
        <v>468</v>
      </c>
      <c r="D39" s="7" t="s">
        <v>469</v>
      </c>
      <c r="E39" s="7" t="s">
        <v>470</v>
      </c>
      <c r="F39" s="7" t="s">
        <v>471</v>
      </c>
      <c r="G39" s="7" t="s">
        <v>472</v>
      </c>
      <c r="H39" s="7" t="s">
        <v>473</v>
      </c>
      <c r="I39" s="7" t="s">
        <v>77</v>
      </c>
      <c r="J39" s="7" t="s">
        <v>25</v>
      </c>
      <c r="K39" s="7" t="s">
        <v>474</v>
      </c>
      <c r="L39" s="7" t="s">
        <v>475</v>
      </c>
      <c r="M39" s="7" t="s">
        <v>476</v>
      </c>
      <c r="N39" s="7" t="s">
        <v>477</v>
      </c>
      <c r="O39" s="7" t="s">
        <v>30</v>
      </c>
      <c r="P39" s="7" t="s">
        <v>31</v>
      </c>
      <c r="Q39" s="7" t="s">
        <v>96</v>
      </c>
      <c r="R39" s="7" t="s">
        <v>478</v>
      </c>
      <c r="S39" s="7" t="s">
        <v>84</v>
      </c>
    </row>
    <row r="40" spans="2:19" ht="64" x14ac:dyDescent="0.2">
      <c r="B40" s="7" t="s">
        <v>479</v>
      </c>
      <c r="C40" s="7" t="s">
        <v>480</v>
      </c>
      <c r="D40" s="7" t="s">
        <v>481</v>
      </c>
      <c r="E40" s="7" t="s">
        <v>482</v>
      </c>
      <c r="F40" s="7" t="s">
        <v>483</v>
      </c>
      <c r="G40" s="7" t="s">
        <v>484</v>
      </c>
      <c r="H40" s="7" t="s">
        <v>473</v>
      </c>
      <c r="I40" s="7" t="s">
        <v>77</v>
      </c>
      <c r="J40" s="7" t="s">
        <v>25</v>
      </c>
      <c r="K40" s="7" t="s">
        <v>485</v>
      </c>
      <c r="L40" s="7" t="s">
        <v>486</v>
      </c>
      <c r="M40" s="7" t="s">
        <v>487</v>
      </c>
      <c r="N40" s="7" t="s">
        <v>488</v>
      </c>
      <c r="O40" s="7" t="s">
        <v>30</v>
      </c>
      <c r="P40" s="7" t="s">
        <v>31</v>
      </c>
      <c r="Q40" s="7" t="s">
        <v>96</v>
      </c>
      <c r="R40" s="7" t="s">
        <v>489</v>
      </c>
      <c r="S40" s="7" t="s">
        <v>84</v>
      </c>
    </row>
    <row r="41" spans="2:19" ht="48" x14ac:dyDescent="0.2">
      <c r="B41" s="7" t="s">
        <v>490</v>
      </c>
      <c r="C41" s="7" t="s">
        <v>491</v>
      </c>
      <c r="D41" s="7" t="s">
        <v>492</v>
      </c>
      <c r="E41" s="7" t="s">
        <v>493</v>
      </c>
      <c r="F41" s="7" t="s">
        <v>494</v>
      </c>
      <c r="G41" s="7" t="s">
        <v>495</v>
      </c>
      <c r="H41" s="7" t="s">
        <v>473</v>
      </c>
      <c r="I41" s="7" t="s">
        <v>62</v>
      </c>
      <c r="J41" s="7" t="s">
        <v>25</v>
      </c>
      <c r="K41" s="7" t="s">
        <v>496</v>
      </c>
      <c r="L41" s="7" t="s">
        <v>497</v>
      </c>
      <c r="M41" s="7" t="s">
        <v>498</v>
      </c>
      <c r="N41" s="7" t="s">
        <v>499</v>
      </c>
      <c r="O41" s="7" t="s">
        <v>30</v>
      </c>
      <c r="P41" s="7" t="s">
        <v>31</v>
      </c>
      <c r="Q41" s="7" t="s">
        <v>96</v>
      </c>
      <c r="R41" s="7" t="s">
        <v>500</v>
      </c>
      <c r="S41" s="7" t="s">
        <v>69</v>
      </c>
    </row>
    <row r="42" spans="2:19" ht="64" hidden="1" x14ac:dyDescent="0.2">
      <c r="B42" s="7" t="s">
        <v>501</v>
      </c>
      <c r="C42" s="7" t="s">
        <v>491</v>
      </c>
      <c r="D42" s="7" t="s">
        <v>502</v>
      </c>
      <c r="E42" s="7" t="s">
        <v>503</v>
      </c>
      <c r="F42" s="7" t="s">
        <v>504</v>
      </c>
      <c r="G42" s="7" t="s">
        <v>505</v>
      </c>
      <c r="H42" s="7" t="s">
        <v>506</v>
      </c>
      <c r="I42" s="7" t="s">
        <v>62</v>
      </c>
      <c r="J42" s="7" t="s">
        <v>25</v>
      </c>
      <c r="K42" s="7" t="s">
        <v>507</v>
      </c>
      <c r="L42" s="7" t="s">
        <v>508</v>
      </c>
      <c r="M42" s="7" t="s">
        <v>509</v>
      </c>
      <c r="N42" s="7" t="s">
        <v>510</v>
      </c>
      <c r="O42" s="7" t="s">
        <v>30</v>
      </c>
      <c r="P42" s="7" t="s">
        <v>31</v>
      </c>
      <c r="Q42" s="7" t="s">
        <v>32</v>
      </c>
      <c r="R42" s="7" t="s">
        <v>511</v>
      </c>
      <c r="S42" s="7" t="s">
        <v>69</v>
      </c>
    </row>
    <row r="43" spans="2:19" ht="80" hidden="1" x14ac:dyDescent="0.2">
      <c r="B43" s="7" t="s">
        <v>512</v>
      </c>
      <c r="C43" s="7" t="s">
        <v>491</v>
      </c>
      <c r="D43" s="7" t="s">
        <v>513</v>
      </c>
      <c r="E43" s="7" t="s">
        <v>514</v>
      </c>
      <c r="F43" s="7" t="s">
        <v>515</v>
      </c>
      <c r="G43" s="7" t="s">
        <v>516</v>
      </c>
      <c r="H43" s="7" t="s">
        <v>506</v>
      </c>
      <c r="I43" s="7" t="s">
        <v>62</v>
      </c>
      <c r="J43" s="7" t="s">
        <v>25</v>
      </c>
      <c r="K43" s="7" t="s">
        <v>517</v>
      </c>
      <c r="L43" s="7" t="s">
        <v>518</v>
      </c>
      <c r="M43" s="7" t="s">
        <v>519</v>
      </c>
      <c r="N43" s="7" t="s">
        <v>520</v>
      </c>
      <c r="O43" s="7" t="s">
        <v>30</v>
      </c>
      <c r="P43" s="7" t="s">
        <v>31</v>
      </c>
      <c r="Q43" s="7" t="s">
        <v>32</v>
      </c>
      <c r="R43" s="7" t="s">
        <v>521</v>
      </c>
      <c r="S43" s="7" t="s">
        <v>69</v>
      </c>
    </row>
    <row r="44" spans="2:19" ht="80" hidden="1" x14ac:dyDescent="0.2">
      <c r="B44" s="7" t="s">
        <v>522</v>
      </c>
      <c r="C44" s="7" t="s">
        <v>523</v>
      </c>
      <c r="D44" s="7" t="s">
        <v>524</v>
      </c>
      <c r="E44" s="7" t="s">
        <v>525</v>
      </c>
      <c r="F44" s="7" t="s">
        <v>526</v>
      </c>
      <c r="G44" s="7" t="s">
        <v>527</v>
      </c>
      <c r="H44" s="7" t="s">
        <v>461</v>
      </c>
      <c r="I44" s="7" t="s">
        <v>77</v>
      </c>
      <c r="J44" s="7" t="s">
        <v>25</v>
      </c>
      <c r="K44" s="7" t="s">
        <v>528</v>
      </c>
      <c r="L44" s="7" t="s">
        <v>529</v>
      </c>
      <c r="M44" s="7" t="s">
        <v>530</v>
      </c>
      <c r="N44" s="7" t="s">
        <v>531</v>
      </c>
      <c r="O44" s="7" t="s">
        <v>30</v>
      </c>
      <c r="P44" s="7" t="s">
        <v>31</v>
      </c>
      <c r="Q44" s="7" t="s">
        <v>32</v>
      </c>
      <c r="R44" s="7" t="s">
        <v>532</v>
      </c>
      <c r="S44" s="7" t="s">
        <v>84</v>
      </c>
    </row>
    <row r="45" spans="2:19" ht="80" hidden="1" x14ac:dyDescent="0.2">
      <c r="B45" s="7" t="s">
        <v>533</v>
      </c>
      <c r="C45" s="7" t="s">
        <v>534</v>
      </c>
      <c r="D45" s="7" t="s">
        <v>535</v>
      </c>
      <c r="E45" s="7" t="s">
        <v>536</v>
      </c>
      <c r="F45" s="7" t="s">
        <v>537</v>
      </c>
      <c r="G45" s="7" t="s">
        <v>538</v>
      </c>
      <c r="H45" s="7" t="s">
        <v>539</v>
      </c>
      <c r="I45" s="7" t="s">
        <v>77</v>
      </c>
      <c r="J45" s="7" t="s">
        <v>78</v>
      </c>
      <c r="K45" s="7" t="s">
        <v>540</v>
      </c>
      <c r="L45" s="7" t="s">
        <v>541</v>
      </c>
      <c r="M45" s="7" t="s">
        <v>542</v>
      </c>
      <c r="N45" s="7" t="s">
        <v>543</v>
      </c>
      <c r="O45" s="7" t="s">
        <v>30</v>
      </c>
      <c r="P45" s="7" t="s">
        <v>31</v>
      </c>
      <c r="Q45" s="7" t="s">
        <v>32</v>
      </c>
      <c r="R45" s="7" t="s">
        <v>544</v>
      </c>
      <c r="S45" s="7" t="s">
        <v>84</v>
      </c>
    </row>
    <row r="46" spans="2:19" ht="80" hidden="1" x14ac:dyDescent="0.2">
      <c r="B46" s="7" t="s">
        <v>545</v>
      </c>
      <c r="C46" s="7" t="s">
        <v>546</v>
      </c>
      <c r="D46" s="7" t="s">
        <v>547</v>
      </c>
      <c r="E46" s="7" t="s">
        <v>548</v>
      </c>
      <c r="F46" s="7" t="s">
        <v>549</v>
      </c>
      <c r="G46" s="7" t="s">
        <v>550</v>
      </c>
      <c r="H46" s="7" t="s">
        <v>551</v>
      </c>
      <c r="I46" s="7" t="s">
        <v>77</v>
      </c>
      <c r="J46" s="7" t="s">
        <v>25</v>
      </c>
      <c r="K46" s="7" t="s">
        <v>552</v>
      </c>
      <c r="L46" s="7" t="s">
        <v>553</v>
      </c>
      <c r="M46" s="7" t="s">
        <v>554</v>
      </c>
      <c r="N46" s="7" t="s">
        <v>555</v>
      </c>
      <c r="O46" s="7" t="s">
        <v>30</v>
      </c>
      <c r="P46" s="7" t="s">
        <v>31</v>
      </c>
      <c r="Q46" s="7" t="s">
        <v>32</v>
      </c>
      <c r="R46" s="7" t="s">
        <v>556</v>
      </c>
      <c r="S46" s="7" t="s">
        <v>84</v>
      </c>
    </row>
    <row r="47" spans="2:19" ht="96" hidden="1" x14ac:dyDescent="0.2">
      <c r="B47" s="7" t="s">
        <v>557</v>
      </c>
      <c r="C47" s="7" t="s">
        <v>558</v>
      </c>
      <c r="D47" s="7" t="s">
        <v>559</v>
      </c>
      <c r="E47" s="7" t="s">
        <v>560</v>
      </c>
      <c r="F47" s="7" t="s">
        <v>561</v>
      </c>
      <c r="G47" s="7" t="s">
        <v>562</v>
      </c>
      <c r="H47" s="7" t="s">
        <v>551</v>
      </c>
      <c r="I47" s="7" t="s">
        <v>77</v>
      </c>
      <c r="J47" s="7" t="s">
        <v>25</v>
      </c>
      <c r="K47" s="7" t="s">
        <v>563</v>
      </c>
      <c r="L47" s="7" t="s">
        <v>564</v>
      </c>
      <c r="M47" s="7" t="s">
        <v>565</v>
      </c>
      <c r="N47" s="7" t="s">
        <v>566</v>
      </c>
      <c r="O47" s="7" t="s">
        <v>30</v>
      </c>
      <c r="P47" s="7" t="s">
        <v>31</v>
      </c>
      <c r="Q47" s="7" t="s">
        <v>32</v>
      </c>
      <c r="R47" s="7" t="s">
        <v>567</v>
      </c>
      <c r="S47" s="7" t="s">
        <v>84</v>
      </c>
    </row>
    <row r="48" spans="2:19" ht="112" hidden="1" x14ac:dyDescent="0.2">
      <c r="B48" s="7" t="s">
        <v>568</v>
      </c>
      <c r="C48" s="7" t="s">
        <v>569</v>
      </c>
      <c r="D48" s="7" t="s">
        <v>570</v>
      </c>
      <c r="E48" s="7" t="s">
        <v>571</v>
      </c>
      <c r="F48" s="7" t="s">
        <v>572</v>
      </c>
      <c r="G48" s="7" t="s">
        <v>573</v>
      </c>
      <c r="H48" s="7" t="s">
        <v>574</v>
      </c>
      <c r="I48" s="7" t="s">
        <v>77</v>
      </c>
      <c r="J48" s="7" t="s">
        <v>25</v>
      </c>
      <c r="K48" s="7" t="s">
        <v>575</v>
      </c>
      <c r="L48" s="7" t="s">
        <v>576</v>
      </c>
      <c r="M48" s="7" t="s">
        <v>577</v>
      </c>
      <c r="N48" s="7" t="s">
        <v>578</v>
      </c>
      <c r="O48" s="7" t="s">
        <v>30</v>
      </c>
      <c r="P48" s="7" t="s">
        <v>31</v>
      </c>
      <c r="Q48" s="7" t="s">
        <v>32</v>
      </c>
      <c r="R48" s="7" t="s">
        <v>579</v>
      </c>
      <c r="S48" s="7" t="s">
        <v>84</v>
      </c>
    </row>
    <row r="49" spans="2:19" ht="64" hidden="1" x14ac:dyDescent="0.2">
      <c r="B49" s="7" t="s">
        <v>580</v>
      </c>
      <c r="C49" s="7" t="s">
        <v>581</v>
      </c>
      <c r="D49" s="7" t="s">
        <v>582</v>
      </c>
      <c r="E49" s="7" t="s">
        <v>583</v>
      </c>
      <c r="F49" s="7" t="s">
        <v>584</v>
      </c>
      <c r="G49" s="7" t="s">
        <v>585</v>
      </c>
      <c r="H49" s="7" t="s">
        <v>586</v>
      </c>
      <c r="I49" s="7" t="s">
        <v>24</v>
      </c>
      <c r="J49" s="7" t="s">
        <v>25</v>
      </c>
      <c r="K49" s="7" t="s">
        <v>587</v>
      </c>
      <c r="L49" s="7" t="s">
        <v>588</v>
      </c>
      <c r="M49" s="7" t="s">
        <v>589</v>
      </c>
      <c r="N49" s="7" t="s">
        <v>590</v>
      </c>
      <c r="O49" s="7" t="s">
        <v>30</v>
      </c>
      <c r="P49" s="7" t="s">
        <v>31</v>
      </c>
      <c r="Q49" s="7" t="s">
        <v>32</v>
      </c>
      <c r="R49" s="7" t="s">
        <v>591</v>
      </c>
      <c r="S49" s="7" t="s">
        <v>34</v>
      </c>
    </row>
    <row r="50" spans="2:19" ht="80" hidden="1" x14ac:dyDescent="0.2">
      <c r="B50" s="7" t="s">
        <v>592</v>
      </c>
      <c r="C50" s="7" t="s">
        <v>593</v>
      </c>
      <c r="D50" s="7" t="s">
        <v>594</v>
      </c>
      <c r="E50" s="7" t="s">
        <v>595</v>
      </c>
      <c r="F50" s="7" t="s">
        <v>596</v>
      </c>
      <c r="G50" s="7" t="s">
        <v>597</v>
      </c>
      <c r="H50" s="7" t="s">
        <v>598</v>
      </c>
      <c r="I50" s="7" t="s">
        <v>24</v>
      </c>
      <c r="J50" s="7" t="s">
        <v>25</v>
      </c>
      <c r="K50" s="7" t="s">
        <v>599</v>
      </c>
      <c r="L50" s="7" t="s">
        <v>600</v>
      </c>
      <c r="M50" s="7" t="s">
        <v>601</v>
      </c>
      <c r="N50" s="7" t="s">
        <v>602</v>
      </c>
      <c r="O50" s="7" t="s">
        <v>30</v>
      </c>
      <c r="P50" s="7" t="s">
        <v>31</v>
      </c>
      <c r="Q50" s="7" t="s">
        <v>32</v>
      </c>
      <c r="R50" s="7" t="s">
        <v>603</v>
      </c>
      <c r="S50" s="7" t="s">
        <v>34</v>
      </c>
    </row>
    <row r="51" spans="2:19" ht="64" hidden="1" x14ac:dyDescent="0.2">
      <c r="B51" s="7" t="s">
        <v>604</v>
      </c>
      <c r="C51" s="7" t="s">
        <v>605</v>
      </c>
      <c r="D51" s="7" t="s">
        <v>606</v>
      </c>
      <c r="E51" s="7" t="s">
        <v>607</v>
      </c>
      <c r="F51" s="7" t="s">
        <v>608</v>
      </c>
      <c r="G51" s="7" t="s">
        <v>609</v>
      </c>
      <c r="H51" s="7" t="s">
        <v>598</v>
      </c>
      <c r="I51" s="7" t="s">
        <v>24</v>
      </c>
      <c r="J51" s="7" t="s">
        <v>25</v>
      </c>
      <c r="K51" s="7" t="s">
        <v>610</v>
      </c>
      <c r="L51" s="7" t="s">
        <v>611</v>
      </c>
      <c r="M51" s="7" t="s">
        <v>612</v>
      </c>
      <c r="N51" s="7" t="s">
        <v>613</v>
      </c>
      <c r="O51" s="7" t="s">
        <v>30</v>
      </c>
      <c r="P51" s="7" t="s">
        <v>31</v>
      </c>
      <c r="Q51" s="7" t="s">
        <v>32</v>
      </c>
      <c r="R51" s="7" t="s">
        <v>614</v>
      </c>
      <c r="S51" s="7" t="s">
        <v>34</v>
      </c>
    </row>
    <row r="52" spans="2:19" ht="64" hidden="1" x14ac:dyDescent="0.2">
      <c r="B52" s="7" t="s">
        <v>615</v>
      </c>
      <c r="C52" s="7" t="s">
        <v>616</v>
      </c>
      <c r="D52" s="7" t="s">
        <v>617</v>
      </c>
      <c r="E52" s="7" t="s">
        <v>618</v>
      </c>
      <c r="F52" s="7" t="s">
        <v>619</v>
      </c>
      <c r="G52" s="7" t="s">
        <v>620</v>
      </c>
      <c r="H52" s="7" t="s">
        <v>621</v>
      </c>
      <c r="I52" s="7" t="s">
        <v>77</v>
      </c>
      <c r="J52" s="7" t="s">
        <v>25</v>
      </c>
      <c r="K52" s="7" t="s">
        <v>540</v>
      </c>
      <c r="L52" s="7" t="s">
        <v>622</v>
      </c>
      <c r="M52" s="7" t="s">
        <v>623</v>
      </c>
      <c r="N52" s="7" t="s">
        <v>624</v>
      </c>
      <c r="O52" s="7" t="s">
        <v>30</v>
      </c>
      <c r="P52" s="7" t="s">
        <v>31</v>
      </c>
      <c r="Q52" s="7" t="s">
        <v>32</v>
      </c>
      <c r="R52" s="7" t="s">
        <v>625</v>
      </c>
      <c r="S52" s="7" t="s">
        <v>84</v>
      </c>
    </row>
    <row r="53" spans="2:19" ht="64" x14ac:dyDescent="0.2">
      <c r="B53" s="7" t="s">
        <v>626</v>
      </c>
      <c r="C53" s="7" t="s">
        <v>627</v>
      </c>
      <c r="D53" s="7" t="s">
        <v>628</v>
      </c>
      <c r="E53" s="7" t="s">
        <v>629</v>
      </c>
      <c r="F53" s="7" t="s">
        <v>630</v>
      </c>
      <c r="G53" s="7" t="s">
        <v>631</v>
      </c>
      <c r="H53" s="7" t="s">
        <v>632</v>
      </c>
      <c r="I53" s="7" t="s">
        <v>77</v>
      </c>
      <c r="J53" s="7" t="s">
        <v>78</v>
      </c>
      <c r="K53" s="7" t="s">
        <v>633</v>
      </c>
      <c r="L53" s="7" t="s">
        <v>634</v>
      </c>
      <c r="M53" s="7" t="s">
        <v>635</v>
      </c>
      <c r="N53" s="7" t="s">
        <v>636</v>
      </c>
      <c r="O53" s="7" t="s">
        <v>30</v>
      </c>
      <c r="P53" s="7" t="s">
        <v>31</v>
      </c>
      <c r="Q53" s="7" t="s">
        <v>96</v>
      </c>
      <c r="R53" s="7" t="s">
        <v>637</v>
      </c>
      <c r="S53" s="7" t="s">
        <v>84</v>
      </c>
    </row>
    <row r="54" spans="2:19" ht="80" hidden="1" x14ac:dyDescent="0.2">
      <c r="B54" s="7" t="s">
        <v>638</v>
      </c>
      <c r="C54" s="7" t="s">
        <v>639</v>
      </c>
      <c r="D54" s="7" t="s">
        <v>640</v>
      </c>
      <c r="E54" s="7" t="s">
        <v>641</v>
      </c>
      <c r="F54" s="7" t="s">
        <v>642</v>
      </c>
      <c r="G54" s="7" t="s">
        <v>643</v>
      </c>
      <c r="H54" s="7" t="s">
        <v>644</v>
      </c>
      <c r="I54" s="7" t="s">
        <v>77</v>
      </c>
      <c r="J54" s="7" t="s">
        <v>78</v>
      </c>
      <c r="K54" s="7" t="s">
        <v>645</v>
      </c>
      <c r="L54" s="7" t="s">
        <v>646</v>
      </c>
      <c r="M54" s="7" t="s">
        <v>647</v>
      </c>
      <c r="N54" s="7" t="s">
        <v>648</v>
      </c>
      <c r="O54" s="7" t="s">
        <v>30</v>
      </c>
      <c r="P54" s="7" t="s">
        <v>31</v>
      </c>
      <c r="Q54" s="7" t="s">
        <v>32</v>
      </c>
      <c r="R54" s="7" t="s">
        <v>649</v>
      </c>
      <c r="S54" s="7" t="s">
        <v>84</v>
      </c>
    </row>
    <row r="55" spans="2:19" ht="64" hidden="1" x14ac:dyDescent="0.2">
      <c r="B55" s="7" t="s">
        <v>650</v>
      </c>
      <c r="C55" s="7" t="s">
        <v>651</v>
      </c>
      <c r="D55" s="7" t="s">
        <v>652</v>
      </c>
      <c r="E55" s="7" t="s">
        <v>653</v>
      </c>
      <c r="F55" s="7" t="s">
        <v>654</v>
      </c>
      <c r="G55" s="7" t="s">
        <v>655</v>
      </c>
      <c r="H55" s="7" t="s">
        <v>656</v>
      </c>
      <c r="I55" s="7" t="s">
        <v>24</v>
      </c>
      <c r="J55" s="7" t="s">
        <v>78</v>
      </c>
      <c r="K55" s="7" t="s">
        <v>657</v>
      </c>
      <c r="L55" s="7" t="s">
        <v>658</v>
      </c>
      <c r="M55" s="7" t="s">
        <v>659</v>
      </c>
      <c r="N55" s="7" t="s">
        <v>660</v>
      </c>
      <c r="O55" s="7" t="s">
        <v>30</v>
      </c>
      <c r="P55" s="7" t="s">
        <v>31</v>
      </c>
      <c r="Q55" s="7" t="s">
        <v>32</v>
      </c>
      <c r="R55" s="7" t="s">
        <v>661</v>
      </c>
      <c r="S55" s="7" t="s">
        <v>34</v>
      </c>
    </row>
    <row r="56" spans="2:19" ht="64" hidden="1" x14ac:dyDescent="0.2">
      <c r="B56" s="7" t="s">
        <v>662</v>
      </c>
      <c r="C56" s="7" t="s">
        <v>651</v>
      </c>
      <c r="D56" s="7" t="s">
        <v>663</v>
      </c>
      <c r="E56" s="7" t="s">
        <v>664</v>
      </c>
      <c r="F56" s="7" t="s">
        <v>665</v>
      </c>
      <c r="G56" s="7" t="s">
        <v>666</v>
      </c>
      <c r="H56" s="7" t="s">
        <v>656</v>
      </c>
      <c r="I56" s="7" t="s">
        <v>24</v>
      </c>
      <c r="J56" s="7" t="s">
        <v>78</v>
      </c>
      <c r="K56" s="7" t="s">
        <v>667</v>
      </c>
      <c r="L56" s="7" t="s">
        <v>668</v>
      </c>
      <c r="M56" s="7" t="s">
        <v>669</v>
      </c>
      <c r="N56" s="7" t="s">
        <v>660</v>
      </c>
      <c r="O56" s="7" t="s">
        <v>30</v>
      </c>
      <c r="P56" s="7" t="s">
        <v>31</v>
      </c>
      <c r="Q56" s="7" t="s">
        <v>32</v>
      </c>
      <c r="R56" s="7" t="s">
        <v>670</v>
      </c>
      <c r="S56" s="7" t="s">
        <v>34</v>
      </c>
    </row>
    <row r="57" spans="2:19" ht="64" x14ac:dyDescent="0.2">
      <c r="B57" s="7" t="s">
        <v>671</v>
      </c>
      <c r="C57" s="7" t="s">
        <v>651</v>
      </c>
      <c r="D57" s="7" t="s">
        <v>672</v>
      </c>
      <c r="E57" s="7" t="s">
        <v>673</v>
      </c>
      <c r="F57" s="7" t="s">
        <v>674</v>
      </c>
      <c r="G57" s="7" t="s">
        <v>675</v>
      </c>
      <c r="H57" s="7" t="s">
        <v>676</v>
      </c>
      <c r="I57" s="7" t="s">
        <v>77</v>
      </c>
      <c r="J57" s="7" t="s">
        <v>63</v>
      </c>
      <c r="K57" s="7" t="s">
        <v>677</v>
      </c>
      <c r="L57" s="7" t="s">
        <v>678</v>
      </c>
      <c r="M57" s="7" t="s">
        <v>679</v>
      </c>
      <c r="N57" s="7" t="s">
        <v>660</v>
      </c>
      <c r="O57" s="7" t="s">
        <v>30</v>
      </c>
      <c r="P57" s="7" t="s">
        <v>31</v>
      </c>
      <c r="Q57" s="7" t="s">
        <v>96</v>
      </c>
      <c r="R57" s="7" t="s">
        <v>680</v>
      </c>
      <c r="S57" s="7" t="s">
        <v>84</v>
      </c>
    </row>
    <row r="58" spans="2:19" ht="80" hidden="1" x14ac:dyDescent="0.2">
      <c r="B58" s="7" t="s">
        <v>681</v>
      </c>
      <c r="C58" s="7" t="s">
        <v>682</v>
      </c>
      <c r="D58" s="7" t="s">
        <v>683</v>
      </c>
      <c r="E58" s="7" t="s">
        <v>684</v>
      </c>
      <c r="F58" s="7" t="s">
        <v>685</v>
      </c>
      <c r="G58" s="7" t="s">
        <v>686</v>
      </c>
      <c r="H58" s="7" t="s">
        <v>687</v>
      </c>
      <c r="I58" s="7" t="s">
        <v>62</v>
      </c>
      <c r="J58" s="7" t="s">
        <v>63</v>
      </c>
      <c r="K58" s="7" t="s">
        <v>688</v>
      </c>
      <c r="L58" s="7" t="s">
        <v>689</v>
      </c>
      <c r="M58" s="7" t="s">
        <v>690</v>
      </c>
      <c r="N58" s="7" t="s">
        <v>691</v>
      </c>
      <c r="O58" s="7" t="s">
        <v>30</v>
      </c>
      <c r="P58" s="7" t="s">
        <v>31</v>
      </c>
      <c r="Q58" s="7" t="s">
        <v>32</v>
      </c>
      <c r="R58" s="7" t="s">
        <v>692</v>
      </c>
      <c r="S58" s="7" t="s">
        <v>69</v>
      </c>
    </row>
  </sheetData>
  <phoneticPr fontId="4"/>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6"/>
  <sheetViews>
    <sheetView workbookViewId="0"/>
  </sheetViews>
  <sheetFormatPr baseColWidth="10" defaultColWidth="8.83203125" defaultRowHeight="15" x14ac:dyDescent="0.2"/>
  <cols>
    <col min="1" max="2" width="10" customWidth="1"/>
    <col min="4" max="4" width="12" customWidth="1"/>
    <col min="5" max="5" width="10" customWidth="1"/>
    <col min="8" max="8" width="16" customWidth="1"/>
    <col min="9" max="9" width="10" customWidth="1"/>
    <col min="11" max="11" width="14" customWidth="1"/>
    <col min="12" max="12" width="10" customWidth="1"/>
  </cols>
  <sheetData>
    <row r="1" spans="1:12" ht="32" x14ac:dyDescent="0.2">
      <c r="A1" s="3" t="s">
        <v>693</v>
      </c>
      <c r="B1" s="3"/>
      <c r="C1" s="3"/>
      <c r="D1" s="3" t="s">
        <v>694</v>
      </c>
      <c r="E1" s="3"/>
      <c r="H1" s="3" t="s">
        <v>695</v>
      </c>
      <c r="K1" s="3" t="s">
        <v>696</v>
      </c>
    </row>
    <row r="2" spans="1:12" ht="16" x14ac:dyDescent="0.2">
      <c r="A2" s="4" t="s">
        <v>697</v>
      </c>
      <c r="B2" s="4" t="s">
        <v>698</v>
      </c>
      <c r="C2" s="3"/>
      <c r="D2" s="4" t="s">
        <v>699</v>
      </c>
      <c r="E2" s="4" t="s">
        <v>698</v>
      </c>
      <c r="H2" s="4" t="s">
        <v>14</v>
      </c>
      <c r="I2" s="4" t="s">
        <v>698</v>
      </c>
      <c r="K2" s="4" t="s">
        <v>700</v>
      </c>
      <c r="L2" s="4" t="s">
        <v>698</v>
      </c>
    </row>
    <row r="3" spans="1:12" ht="16" x14ac:dyDescent="0.2">
      <c r="A3" s="5" t="s">
        <v>701</v>
      </c>
      <c r="B3" s="5" t="e">
        <f>COUNTIF(#REF!,"P0")</f>
        <v>#REF!</v>
      </c>
      <c r="C3" s="6"/>
      <c r="D3" s="5" t="s">
        <v>25</v>
      </c>
      <c r="E3" s="5" t="e">
        <f>COUNTIF(#REF!,"*Backend*")</f>
        <v>#REF!</v>
      </c>
      <c r="H3" s="5" t="s">
        <v>32</v>
      </c>
      <c r="I3" s="5" t="e">
        <f>COUNTIF(#REF!,"仕様書修正")</f>
        <v>#REF!</v>
      </c>
      <c r="K3" s="5" t="s">
        <v>34</v>
      </c>
      <c r="L3" s="5" t="e">
        <f>COUNTIF(#REF!,"高")</f>
        <v>#REF!</v>
      </c>
    </row>
    <row r="4" spans="1:12" ht="16" x14ac:dyDescent="0.2">
      <c r="A4" s="5" t="s">
        <v>24</v>
      </c>
      <c r="B4" s="5" t="e">
        <f>COUNTIF(#REF!,"P1")</f>
        <v>#REF!</v>
      </c>
      <c r="C4" s="6"/>
      <c r="D4" s="5" t="s">
        <v>63</v>
      </c>
      <c r="E4" s="5" t="e">
        <f>COUNTIF(#REF!,"*Frontend*")</f>
        <v>#REF!</v>
      </c>
      <c r="H4" s="5" t="s">
        <v>96</v>
      </c>
      <c r="I4" s="5" t="e">
        <f>COUNTIF(#REF!,"実装修正")</f>
        <v>#REF!</v>
      </c>
      <c r="K4" s="5" t="s">
        <v>84</v>
      </c>
      <c r="L4" s="5" t="e">
        <f>COUNTIF(#REF!,"中")</f>
        <v>#REF!</v>
      </c>
    </row>
    <row r="5" spans="1:12" ht="16" x14ac:dyDescent="0.2">
      <c r="A5" s="5" t="s">
        <v>77</v>
      </c>
      <c r="B5" s="5" t="e">
        <f>COUNTIF(#REF!,"P2")</f>
        <v>#REF!</v>
      </c>
      <c r="C5" s="6"/>
      <c r="D5" s="5" t="s">
        <v>78</v>
      </c>
      <c r="E5" s="5" t="e">
        <f>COUNTIF(#REF!,"*両方*")</f>
        <v>#REF!</v>
      </c>
      <c r="H5" s="5" t="s">
        <v>204</v>
      </c>
      <c r="I5" s="5" t="e">
        <f>COUNTIF(#REF!,"両方見直し")</f>
        <v>#REF!</v>
      </c>
      <c r="K5" s="5" t="s">
        <v>69</v>
      </c>
      <c r="L5" s="5" t="e">
        <f>COUNTIF(#REF!,"低")</f>
        <v>#REF!</v>
      </c>
    </row>
    <row r="6" spans="1:12" ht="16" x14ac:dyDescent="0.2">
      <c r="A6" s="5" t="s">
        <v>62</v>
      </c>
      <c r="B6" s="5" t="e">
        <f>COUNTIF(#REF!,"P3")</f>
        <v>#REF!</v>
      </c>
      <c r="C6" s="6"/>
      <c r="D6" s="6"/>
      <c r="E6" s="6"/>
      <c r="H6" s="5" t="s">
        <v>453</v>
      </c>
      <c r="I6" s="5" t="e">
        <f>COUNTIF(#REF!,"保留")</f>
        <v>#REF!</v>
      </c>
    </row>
  </sheetData>
  <phoneticPr fontId="4"/>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8"/>
  <sheetViews>
    <sheetView workbookViewId="0"/>
  </sheetViews>
  <sheetFormatPr baseColWidth="10" defaultColWidth="8.83203125" defaultRowHeight="15" x14ac:dyDescent="0.2"/>
  <cols>
    <col min="1" max="1" width="90" customWidth="1"/>
  </cols>
  <sheetData>
    <row r="1" spans="1:2" ht="34.75" customHeight="1" x14ac:dyDescent="0.25">
      <c r="A1" s="1" t="s">
        <v>702</v>
      </c>
    </row>
    <row r="3" spans="1:2" ht="26.75" customHeight="1" x14ac:dyDescent="0.2">
      <c r="A3" s="2" t="s">
        <v>703</v>
      </c>
    </row>
    <row r="4" spans="1:2" ht="26.75" customHeight="1" x14ac:dyDescent="0.2">
      <c r="A4" s="2" t="s">
        <v>704</v>
      </c>
    </row>
    <row r="5" spans="1:2" ht="26.75" customHeight="1" x14ac:dyDescent="0.2">
      <c r="A5" s="2" t="s">
        <v>705</v>
      </c>
    </row>
    <row r="6" spans="1:2" ht="26.75" customHeight="1" x14ac:dyDescent="0.2">
      <c r="A6" s="2" t="s">
        <v>706</v>
      </c>
    </row>
    <row r="8" spans="1:2" ht="19" x14ac:dyDescent="0.25">
      <c r="A8" s="1" t="s">
        <v>707</v>
      </c>
      <c r="B8" t="s">
        <v>708</v>
      </c>
    </row>
  </sheetData>
  <phoneticPr fontId="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3</vt:i4>
      </vt:variant>
    </vt:vector>
  </HeadingPairs>
  <TitlesOfParts>
    <vt:vector size="3" baseType="lpstr">
      <vt:lpstr>Mismatch一覧</vt:lpstr>
      <vt:lpstr>集計</vt:lpstr>
      <vt:lpstr>使い方</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佐伯 将伍</cp:lastModifiedBy>
  <dcterms:modified xsi:type="dcterms:W3CDTF">2026-04-13T03:44:15Z</dcterms:modified>
</cp:coreProperties>
</file>